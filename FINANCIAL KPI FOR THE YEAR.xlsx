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\PROJECT FOR CV\"/>
    </mc:Choice>
  </mc:AlternateContent>
  <xr:revisionPtr revIDLastSave="0" documentId="13_ncr:1_{7A8A9FF8-7A9D-428E-AC3B-C0818C1E5A19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DATA" sheetId="30" r:id="rId1"/>
    <sheet name="CALCULATION" sheetId="28" r:id="rId2"/>
    <sheet name="DASHBOARD" sheetId="31" r:id="rId3"/>
  </sheets>
  <definedNames>
    <definedName name="_xlnm._FilterDatabase" localSheetId="1" hidden="1">CALCULATION!$G$84:$J$93</definedName>
    <definedName name="_xlnm._FilterDatabase" localSheetId="0" hidden="1">DATA!$G$36:$J$36</definedName>
    <definedName name="ab">CALCULATION!$D$32</definedName>
    <definedName name="Actual" localSheetId="0">OFFSET(#REF!,0,0,COUNTA(#REF!),1)</definedName>
    <definedName name="Actual">OFFSET(#REF!,0,0,COUNTA(#REF!),1)</definedName>
    <definedName name="circle" localSheetId="0">DATA!Actual^0</definedName>
    <definedName name="circle">Actual^0</definedName>
    <definedName name="circle2" localSheetId="0">ROW(OFFSET(DATA!Actual,0,0,14))^0</definedName>
    <definedName name="circle2">ROW(OFFSET(Actual,0,0,14))^0</definedName>
    <definedName name="Dep" localSheetId="0">#REF!</definedName>
    <definedName name="Dep">#REF!</definedName>
    <definedName name="Plan" localSheetId="0">OFFSET(DATA!Actual,,1)</definedName>
    <definedName name="Plan">OFFSET(Actual,,1)</definedName>
    <definedName name="region">CALCULATION!$D$37</definedName>
    <definedName name="rng" localSheetId="0">ROW(#REF!:INDEX(#REF!,ROWS(DATA!Actual)*3+1,))</definedName>
    <definedName name="rng">ROW(#REF!:INDEX(#REF!,ROWS(Actual)*3+1,))</definedName>
    <definedName name="rng_0" localSheetId="0">DATA!rng^0-1</definedName>
    <definedName name="rng_0">rng^0-1</definedName>
    <definedName name="s_1" localSheetId="0">MMULT(--(IF(MOD(DATA!rng,3)&gt;=1,0,DATA!rng/3)=COLUMN(OFFSET(#REF!,,,,ROWS(DATA!Actual)))),DATA!Actual)</definedName>
    <definedName name="s_1">MMULT(--(IF(MOD(rng,3)&gt;=1,0,rng/3)=COLUMN(OFFSET(#REF!,,,,ROWS(Actual)))),Actual)</definedName>
    <definedName name="s_2" localSheetId="0">MMULT(--(IF(MOD(DATA!rng+2,3)&gt;=1,0,INT(DATA!rng/3))=COLUMN(OFFSET(#REF!,,,,ROWS(DATA!Plan)))),DATA!Plan)</definedName>
    <definedName name="s_2">MMULT(--(IF(MOD(rng+2,3)&gt;=1,0,INT(rng/3))=COLUMN(OFFSET(#REF!,,,,ROWS(Plan)))),Plan)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0" l="1"/>
  <c r="D32" i="28" a="1"/>
  <c r="D32" i="28" s="1"/>
  <c r="Q57" i="28"/>
  <c r="Q56" i="28"/>
  <c r="D37" i="28" a="1"/>
  <c r="D37" i="28" s="1"/>
  <c r="P20" i="28"/>
  <c r="O20" i="28"/>
  <c r="N20" i="28"/>
  <c r="M20" i="28"/>
  <c r="L20" i="28"/>
  <c r="K20" i="28"/>
  <c r="J20" i="28"/>
  <c r="I20" i="28"/>
  <c r="H20" i="28"/>
  <c r="G20" i="28"/>
  <c r="F20" i="28"/>
  <c r="E20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Q14" i="28"/>
  <c r="Q13" i="28"/>
  <c r="Q12" i="28"/>
  <c r="Q11" i="28"/>
  <c r="Q10" i="28"/>
  <c r="Q9" i="28"/>
  <c r="Q8" i="28"/>
  <c r="Q7" i="28"/>
  <c r="Q6" i="28"/>
  <c r="Q5" i="28"/>
  <c r="Q4" i="28"/>
  <c r="Q3" i="28"/>
  <c r="E75" i="30"/>
  <c r="D75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3" i="30"/>
  <c r="Q7" i="30"/>
  <c r="E18" i="30"/>
  <c r="F18" i="30"/>
  <c r="G18" i="30"/>
  <c r="H18" i="30"/>
  <c r="J18" i="30"/>
  <c r="K18" i="30"/>
  <c r="L18" i="30"/>
  <c r="M18" i="30"/>
  <c r="N18" i="30"/>
  <c r="O18" i="30"/>
  <c r="P18" i="30"/>
  <c r="Q12" i="30"/>
  <c r="Q6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1" i="30"/>
  <c r="Q5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8" i="30"/>
  <c r="E21" i="30"/>
  <c r="F21" i="30"/>
  <c r="G21" i="30"/>
  <c r="H21" i="30"/>
  <c r="I21" i="30"/>
  <c r="J21" i="30"/>
  <c r="K21" i="30"/>
  <c r="L21" i="30"/>
  <c r="M21" i="30"/>
  <c r="N21" i="30"/>
  <c r="O21" i="30"/>
  <c r="P21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14" i="30"/>
  <c r="Q15" i="30"/>
  <c r="Q16" i="30"/>
  <c r="Q9" i="30"/>
  <c r="Q10" i="30"/>
  <c r="Q21" i="30" l="1"/>
  <c r="Q18" i="30"/>
  <c r="C49" i="28"/>
  <c r="C69" i="28"/>
  <c r="C70" i="28"/>
  <c r="C71" i="28"/>
  <c r="C72" i="28"/>
  <c r="C65" i="28"/>
  <c r="C66" i="28"/>
  <c r="C76" i="28"/>
  <c r="C64" i="28"/>
  <c r="C77" i="28"/>
  <c r="C75" i="28"/>
  <c r="C67" i="28"/>
  <c r="C68" i="28"/>
  <c r="G87" i="28"/>
  <c r="G85" i="28"/>
  <c r="G89" i="28"/>
  <c r="G88" i="28"/>
  <c r="G86" i="28"/>
  <c r="G91" i="28"/>
  <c r="G90" i="28"/>
  <c r="G92" i="28"/>
  <c r="G93" i="28"/>
  <c r="I93" i="28" s="1"/>
  <c r="B48" i="28"/>
  <c r="Q16" i="28"/>
  <c r="B56" i="28"/>
  <c r="B61" i="28"/>
  <c r="B60" i="28"/>
  <c r="B59" i="28"/>
  <c r="B57" i="28"/>
  <c r="B58" i="28"/>
  <c r="Q19" i="28"/>
  <c r="Q20" i="28"/>
  <c r="Q18" i="28"/>
  <c r="Q15" i="28"/>
  <c r="Q17" i="28"/>
  <c r="B47" i="28"/>
  <c r="B49" i="28"/>
  <c r="C48" i="28"/>
  <c r="C47" i="28"/>
  <c r="Q19" i="30"/>
  <c r="Q22" i="30"/>
  <c r="Q17" i="30"/>
  <c r="Q20" i="30"/>
  <c r="K70" i="28" l="1"/>
  <c r="J70" i="28"/>
  <c r="I70" i="28"/>
  <c r="H70" i="28"/>
  <c r="G70" i="28"/>
  <c r="F70" i="28"/>
  <c r="E70" i="28"/>
  <c r="Q70" i="28"/>
  <c r="P70" i="28"/>
  <c r="O70" i="28"/>
  <c r="N70" i="28"/>
  <c r="M70" i="28"/>
  <c r="L70" i="28"/>
  <c r="E68" i="28"/>
  <c r="Q68" i="28"/>
  <c r="P68" i="28"/>
  <c r="O68" i="28"/>
  <c r="N68" i="28"/>
  <c r="M68" i="28"/>
  <c r="L68" i="28"/>
  <c r="K68" i="28"/>
  <c r="J68" i="28"/>
  <c r="I68" i="28"/>
  <c r="H68" i="28"/>
  <c r="G68" i="28"/>
  <c r="F68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F75" i="28"/>
  <c r="E75" i="28"/>
  <c r="D75" i="28"/>
  <c r="D77" i="28"/>
  <c r="F77" i="28"/>
  <c r="E77" i="28"/>
  <c r="F76" i="28"/>
  <c r="E76" i="28"/>
  <c r="D76" i="28"/>
  <c r="N71" i="28"/>
  <c r="M71" i="28"/>
  <c r="L71" i="28"/>
  <c r="K71" i="28"/>
  <c r="J71" i="28"/>
  <c r="I71" i="28"/>
  <c r="H71" i="28"/>
  <c r="G71" i="28"/>
  <c r="F71" i="28"/>
  <c r="E71" i="28"/>
  <c r="Q71" i="28"/>
  <c r="P71" i="28"/>
  <c r="O71" i="28"/>
  <c r="H69" i="28"/>
  <c r="G69" i="28"/>
  <c r="F69" i="28"/>
  <c r="E69" i="28"/>
  <c r="Q69" i="28"/>
  <c r="P69" i="28"/>
  <c r="O69" i="28"/>
  <c r="I69" i="28"/>
  <c r="N69" i="28"/>
  <c r="M69" i="28"/>
  <c r="L69" i="28"/>
  <c r="K69" i="28"/>
  <c r="J69" i="28"/>
  <c r="J49" i="28"/>
  <c r="Q72" i="28"/>
  <c r="P72" i="28"/>
  <c r="O72" i="28"/>
  <c r="N72" i="28"/>
  <c r="M72" i="28"/>
  <c r="L72" i="28"/>
  <c r="K72" i="28"/>
  <c r="J72" i="28"/>
  <c r="I72" i="28"/>
  <c r="H72" i="28"/>
  <c r="F72" i="28"/>
  <c r="E72" i="28"/>
  <c r="G72" i="28"/>
  <c r="J86" i="28"/>
  <c r="I86" i="28"/>
  <c r="I85" i="28"/>
  <c r="J85" i="28"/>
  <c r="J87" i="28"/>
  <c r="I87" i="28"/>
  <c r="J93" i="28"/>
  <c r="J90" i="28"/>
  <c r="I90" i="28"/>
  <c r="J92" i="28"/>
  <c r="I92" i="28"/>
  <c r="J88" i="28"/>
  <c r="I88" i="28"/>
  <c r="I91" i="28"/>
  <c r="J91" i="28"/>
  <c r="G49" i="28"/>
  <c r="J89" i="28"/>
  <c r="I89" i="28"/>
  <c r="O59" i="28"/>
  <c r="G59" i="28"/>
  <c r="N59" i="28"/>
  <c r="F59" i="28"/>
  <c r="M59" i="28"/>
  <c r="E59" i="28"/>
  <c r="L59" i="28"/>
  <c r="J59" i="28"/>
  <c r="K59" i="28"/>
  <c r="P59" i="28"/>
  <c r="I59" i="28"/>
  <c r="H59" i="28"/>
  <c r="K60" i="28"/>
  <c r="J60" i="28"/>
  <c r="I60" i="28"/>
  <c r="P60" i="28"/>
  <c r="H60" i="28"/>
  <c r="N60" i="28"/>
  <c r="F60" i="28"/>
  <c r="O60" i="28"/>
  <c r="G60" i="28"/>
  <c r="M60" i="28"/>
  <c r="E60" i="28"/>
  <c r="L60" i="28"/>
  <c r="K58" i="28"/>
  <c r="J58" i="28"/>
  <c r="N58" i="28"/>
  <c r="I58" i="28"/>
  <c r="P58" i="28"/>
  <c r="H58" i="28"/>
  <c r="F58" i="28"/>
  <c r="O58" i="28"/>
  <c r="G58" i="28"/>
  <c r="M58" i="28"/>
  <c r="E58" i="28"/>
  <c r="E56" i="28" s="1"/>
  <c r="L58" i="28"/>
  <c r="O61" i="28"/>
  <c r="G61" i="28"/>
  <c r="P61" i="28"/>
  <c r="N61" i="28"/>
  <c r="F61" i="28"/>
  <c r="M61" i="28"/>
  <c r="E61" i="28"/>
  <c r="L61" i="28"/>
  <c r="J61" i="28"/>
  <c r="K61" i="28"/>
  <c r="I61" i="28"/>
  <c r="H61" i="28"/>
  <c r="F49" i="28"/>
  <c r="N49" i="28"/>
  <c r="M49" i="28"/>
  <c r="I49" i="28"/>
  <c r="P49" i="28"/>
  <c r="Q49" i="28"/>
  <c r="O49" i="28"/>
  <c r="K49" i="28"/>
  <c r="H49" i="28"/>
  <c r="L49" i="28"/>
  <c r="E49" i="28"/>
  <c r="E47" i="28"/>
  <c r="L47" i="28"/>
  <c r="Q47" i="28"/>
  <c r="I47" i="28"/>
  <c r="G47" i="28"/>
  <c r="P47" i="28"/>
  <c r="H47" i="28"/>
  <c r="O47" i="28"/>
  <c r="J47" i="28"/>
  <c r="N47" i="28"/>
  <c r="F47" i="28"/>
  <c r="M47" i="28"/>
  <c r="K47" i="28"/>
  <c r="O48" i="28"/>
  <c r="G48" i="28"/>
  <c r="F48" i="28"/>
  <c r="E48" i="28"/>
  <c r="L48" i="28"/>
  <c r="J48" i="28"/>
  <c r="K48" i="28"/>
  <c r="Q48" i="28"/>
  <c r="I48" i="28"/>
  <c r="P48" i="28"/>
  <c r="H48" i="28"/>
  <c r="N48" i="28"/>
  <c r="M48" i="28"/>
  <c r="F66" i="28" l="1"/>
  <c r="H66" i="28"/>
  <c r="G66" i="28"/>
  <c r="Q65" i="28"/>
  <c r="M64" i="28"/>
  <c r="F64" i="28"/>
  <c r="P65" i="28"/>
  <c r="H65" i="28"/>
  <c r="I56" i="28"/>
  <c r="G64" i="28"/>
  <c r="H64" i="28"/>
  <c r="I64" i="28"/>
  <c r="E65" i="28"/>
  <c r="L64" i="28"/>
  <c r="O64" i="28"/>
  <c r="E64" i="28"/>
  <c r="E66" i="28"/>
  <c r="G65" i="28"/>
  <c r="Q66" i="28"/>
  <c r="N65" i="28"/>
  <c r="O65" i="28"/>
  <c r="K64" i="28"/>
  <c r="N64" i="28"/>
  <c r="P64" i="28"/>
  <c r="J64" i="28"/>
  <c r="Q64" i="28"/>
  <c r="J66" i="28"/>
  <c r="F65" i="28"/>
  <c r="M66" i="28"/>
  <c r="I65" i="28"/>
  <c r="L66" i="28"/>
  <c r="N66" i="28"/>
  <c r="J65" i="28"/>
  <c r="I66" i="28"/>
  <c r="K65" i="28"/>
  <c r="O66" i="28"/>
  <c r="L65" i="28"/>
  <c r="K66" i="28"/>
  <c r="P66" i="28"/>
  <c r="M65" i="28"/>
  <c r="N56" i="28"/>
  <c r="G56" i="28"/>
  <c r="K56" i="28"/>
  <c r="O56" i="28"/>
  <c r="J57" i="28"/>
  <c r="H56" i="28"/>
  <c r="I57" i="28"/>
  <c r="O57" i="28"/>
  <c r="F56" i="28"/>
  <c r="L57" i="28"/>
  <c r="E57" i="28"/>
  <c r="P56" i="28"/>
  <c r="M57" i="28"/>
  <c r="L56" i="28"/>
  <c r="H57" i="28"/>
  <c r="F57" i="28"/>
  <c r="N57" i="28"/>
  <c r="M56" i="28"/>
  <c r="J56" i="28"/>
  <c r="P57" i="28"/>
  <c r="G57" i="28"/>
  <c r="K57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<sst xmlns="http://schemas.openxmlformats.org/spreadsheetml/2006/main" count="467" uniqueCount="56">
  <si>
    <t>Revenue</t>
  </si>
  <si>
    <t>Actual</t>
  </si>
  <si>
    <t>Insurance</t>
  </si>
  <si>
    <t>Occupancy</t>
  </si>
  <si>
    <t>Telephone</t>
  </si>
  <si>
    <t>Professional fees</t>
  </si>
  <si>
    <t>Hiring and Training</t>
  </si>
  <si>
    <t>Travel and Entertainment</t>
  </si>
  <si>
    <t>Vehicle</t>
  </si>
  <si>
    <t>Advertising and marketing</t>
  </si>
  <si>
    <t>Wages and Benfits</t>
  </si>
  <si>
    <t>Budget</t>
  </si>
  <si>
    <t>Expense</t>
  </si>
  <si>
    <t>Total</t>
  </si>
  <si>
    <t>Category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</si>
  <si>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</si>
  <si>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</si>
  <si>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</si>
  <si>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</si>
  <si>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</si>
  <si>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</si>
  <si>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</si>
  <si>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</si>
  <si>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</si>
  <si>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</si>
  <si>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</si>
  <si>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</si>
  <si>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Profit</t>
  </si>
  <si>
    <t>A/B</t>
  </si>
  <si>
    <t>Selection</t>
  </si>
  <si>
    <t>PROFIT MARGIN</t>
  </si>
  <si>
    <t>CHART #4</t>
  </si>
  <si>
    <t>CHART #2</t>
  </si>
  <si>
    <t>CHART #3</t>
  </si>
  <si>
    <t>Selection code</t>
  </si>
  <si>
    <t>CHART #1</t>
  </si>
  <si>
    <t>FILTER AREA</t>
  </si>
  <si>
    <t>CHART #5</t>
  </si>
  <si>
    <t>PROPORTIONAL PIE CHART</t>
  </si>
  <si>
    <t>PROFIT MARGIN A/B</t>
  </si>
  <si>
    <t>EXPENSES BY CATEGORY</t>
  </si>
  <si>
    <t>Hanoi</t>
  </si>
  <si>
    <t>HCMC</t>
  </si>
  <si>
    <t>Da Nang</t>
  </si>
  <si>
    <t>TABLE 1</t>
  </si>
  <si>
    <t>P&amp;L BY REGION</t>
  </si>
  <si>
    <t>TABLE 2</t>
  </si>
  <si>
    <t>REVENUE &amp; PROFIT</t>
  </si>
  <si>
    <t>% margin</t>
  </si>
  <si>
    <t>FINANCIAL KPI FOR THE YEAR</t>
  </si>
  <si>
    <t>REVENUE &amp; PROFIT MONTHLY ANALYSIS</t>
  </si>
  <si>
    <t>PROFIT MARGIN VS. BUDGET</t>
  </si>
  <si>
    <t>Province</t>
  </si>
  <si>
    <t>PRORORTIONAL BY PROVINCE</t>
  </si>
  <si>
    <t>PROFIT MARGIN BY PROVINCE</t>
  </si>
  <si>
    <t>OPERATING EXPENSES BY PROVINCE VS.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</si>
</sst>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mmm\ yyyy;@"/>
    <numFmt numFmtId="167" formatCode="#,##0_ ;[Red]\(#,##0\)"/>
    <numFmt numFmtId="168" formatCode="_(* #,##0_);_(* \(#,##0\);_(* &quot;-&quot;??_);_(@_)"/>
    <numFmt numFmtId="169" formatCode="#.0,,\ &quot;m&quot;"/>
  </numFmts>
  <fonts count="2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charset val="238"/>
      <scheme val="minor"/>
    </font>
    <font>
      <sz val="10"/>
      <name val="Tahoma"/>
      <family val="2"/>
    </font>
    <font>
      <sz val="11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charset val="238"/>
      <scheme val="minor"/>
    </font>
    <font>
      <sz val="8"/>
      <color rgb="FF000000"/>
      <name val="Segoe UI"/>
      <family val="2"/>
    </font>
    <font>
      <b/>
      <sz val="18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3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2" borderId="1" applyNumberFormat="0" applyFont="0" applyAlignment="0" applyProtection="0"/>
    <xf numFmtId="9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</cellStyleXfs>
  <cellXfs count="160">
    <xf numFmtId="0" fontId="0" fillId="0" borderId="0" xfId="0"/>
    <xf numFmtId="9" fontId="0" fillId="0" borderId="0" xfId="0" applyNumberFormat="1"/>
    <xf numFmtId="0" fontId="10" fillId="0" borderId="0" xfId="5" applyFont="1" applyAlignment="1">
      <alignment vertical="center"/>
    </xf>
    <xf numFmtId="166" fontId="9" fillId="3" borderId="11" xfId="5" applyNumberFormat="1" applyFont="1" applyFill="1" applyBorder="1" applyAlignment="1">
      <alignment horizontal="center"/>
    </xf>
    <xf numFmtId="166" fontId="9" fillId="3" borderId="12" xfId="5" applyNumberFormat="1" applyFont="1" applyFill="1" applyBorder="1" applyAlignment="1">
      <alignment horizontal="center"/>
    </xf>
    <xf numFmtId="166" fontId="9" fillId="3" borderId="2" xfId="5" applyNumberFormat="1" applyFont="1" applyFill="1" applyBorder="1" applyAlignment="1">
      <alignment horizontal="center"/>
    </xf>
    <xf numFmtId="0" fontId="12" fillId="0" borderId="0" xfId="0" applyFont="1"/>
    <xf numFmtId="0" fontId="9" fillId="3" borderId="10" xfId="5" applyFont="1" applyFill="1" applyBorder="1"/>
    <xf numFmtId="164" fontId="0" fillId="0" borderId="0" xfId="0" applyNumberFormat="1"/>
    <xf numFmtId="0" fontId="13" fillId="0" borderId="0" xfId="9" applyFont="1"/>
    <xf numFmtId="168" fontId="12" fillId="0" borderId="0" xfId="1" applyNumberFormat="1" applyFont="1"/>
    <xf numFmtId="0" fontId="14" fillId="0" borderId="0" xfId="0" applyFont="1" applyAlignment="1">
      <alignment horizontal="right"/>
    </xf>
    <xf numFmtId="0" fontId="5" fillId="0" borderId="0" xfId="5"/>
    <xf numFmtId="167" fontId="11" fillId="0" borderId="0" xfId="6" applyNumberFormat="1" applyFont="1" applyFill="1" applyBorder="1"/>
    <xf numFmtId="0" fontId="11" fillId="0" borderId="0" xfId="5" applyFont="1"/>
    <xf numFmtId="0" fontId="15" fillId="0" borderId="0" xfId="5" applyFont="1" applyAlignment="1">
      <alignment vertical="center"/>
    </xf>
    <xf numFmtId="0" fontId="16" fillId="0" borderId="0" xfId="0" applyFont="1"/>
    <xf numFmtId="165" fontId="16" fillId="0" borderId="0" xfId="0" applyNumberFormat="1" applyFont="1"/>
    <xf numFmtId="165" fontId="11" fillId="0" borderId="0" xfId="6" applyNumberFormat="1" applyFont="1" applyFill="1" applyBorder="1"/>
    <xf numFmtId="168" fontId="16" fillId="0" borderId="0" xfId="1" applyNumberFormat="1" applyFont="1" applyFill="1"/>
    <xf numFmtId="0" fontId="17" fillId="0" borderId="0" xfId="0" applyFont="1"/>
    <xf numFmtId="164" fontId="12" fillId="0" borderId="0" xfId="1" applyNumberFormat="1" applyFont="1"/>
    <xf numFmtId="0" fontId="0" fillId="0" borderId="9" xfId="0" applyBorder="1"/>
    <xf numFmtId="0" fontId="9" fillId="3" borderId="14" xfId="5" applyFont="1" applyFill="1" applyBorder="1"/>
    <xf numFmtId="0" fontId="8" fillId="3" borderId="15" xfId="9" applyFont="1" applyFill="1" applyBorder="1" applyAlignment="1">
      <alignment horizontal="right"/>
    </xf>
    <xf numFmtId="0" fontId="8" fillId="3" borderId="13" xfId="9" applyFont="1" applyFill="1" applyBorder="1" applyAlignment="1">
      <alignment horizontal="right"/>
    </xf>
    <xf numFmtId="0" fontId="0" fillId="0" borderId="8" xfId="0" applyBorder="1"/>
    <xf numFmtId="0" fontId="8" fillId="3" borderId="14" xfId="9" applyFont="1" applyFill="1" applyBorder="1"/>
    <xf numFmtId="9" fontId="11" fillId="0" borderId="0" xfId="1" applyNumberFormat="1" applyFont="1" applyFill="1" applyBorder="1"/>
    <xf numFmtId="0" fontId="0" fillId="0" borderId="6" xfId="0" applyBorder="1"/>
    <xf numFmtId="0" fontId="18" fillId="0" borderId="0" xfId="0" applyFont="1"/>
    <xf numFmtId="9" fontId="11" fillId="0" borderId="0" xfId="8" applyFont="1" applyFill="1" applyBorder="1"/>
    <xf numFmtId="0" fontId="9" fillId="3" borderId="2" xfId="5" applyFont="1" applyFill="1" applyBorder="1"/>
    <xf numFmtId="0" fontId="11" fillId="0" borderId="0" xfId="9" applyFont="1"/>
    <xf numFmtId="0" fontId="19" fillId="0" borderId="0" xfId="0" applyFont="1"/>
    <xf numFmtId="0" fontId="11" fillId="0" borderId="0" xfId="9" applyFont="1" applyAlignment="1">
      <alignment horizontal="center"/>
    </xf>
    <xf numFmtId="168" fontId="11" fillId="4" borderId="15" xfId="1" applyNumberFormat="1" applyFont="1" applyFill="1" applyBorder="1"/>
    <xf numFmtId="168" fontId="11" fillId="4" borderId="0" xfId="1" applyNumberFormat="1" applyFont="1" applyFill="1" applyBorder="1"/>
    <xf numFmtId="168" fontId="11" fillId="4" borderId="8" xfId="1" applyNumberFormat="1" applyFont="1" applyFill="1" applyBorder="1"/>
    <xf numFmtId="0" fontId="13" fillId="0" borderId="0" xfId="5" applyFont="1"/>
    <xf numFmtId="9" fontId="13" fillId="0" borderId="0" xfId="8" applyFont="1" applyFill="1" applyBorder="1"/>
    <xf numFmtId="167" fontId="13" fillId="0" borderId="0" xfId="6" applyNumberFormat="1" applyFont="1" applyFill="1" applyBorder="1"/>
    <xf numFmtId="168" fontId="13" fillId="0" borderId="0" xfId="1" applyNumberFormat="1" applyFont="1" applyFill="1" applyBorder="1"/>
    <xf numFmtId="165" fontId="11" fillId="0" borderId="15" xfId="6" applyNumberFormat="1" applyFont="1" applyFill="1" applyBorder="1"/>
    <xf numFmtId="165" fontId="11" fillId="0" borderId="8" xfId="6" applyNumberFormat="1" applyFont="1" applyFill="1" applyBorder="1"/>
    <xf numFmtId="167" fontId="11" fillId="0" borderId="15" xfId="6" applyNumberFormat="1" applyFont="1" applyFill="1" applyBorder="1"/>
    <xf numFmtId="167" fontId="11" fillId="0" borderId="8" xfId="6" applyNumberFormat="1" applyFont="1" applyFill="1" applyBorder="1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14" xfId="5" applyFont="1" applyBorder="1"/>
    <xf numFmtId="0" fontId="2" fillId="0" borderId="14" xfId="0" applyFont="1" applyBorder="1"/>
    <xf numFmtId="165" fontId="2" fillId="0" borderId="15" xfId="6" applyNumberFormat="1" applyFont="1" applyFill="1" applyBorder="1"/>
    <xf numFmtId="165" fontId="2" fillId="0" borderId="13" xfId="6" applyNumberFormat="1" applyFont="1" applyFill="1" applyBorder="1"/>
    <xf numFmtId="165" fontId="2" fillId="0" borderId="16" xfId="0" applyNumberFormat="1" applyFont="1" applyBorder="1"/>
    <xf numFmtId="0" fontId="2" fillId="0" borderId="5" xfId="5" applyFont="1" applyBorder="1"/>
    <xf numFmtId="0" fontId="2" fillId="0" borderId="5" xfId="0" applyFont="1" applyBorder="1"/>
    <xf numFmtId="165" fontId="2" fillId="0" borderId="0" xfId="6" applyNumberFormat="1" applyFont="1" applyFill="1" applyBorder="1"/>
    <xf numFmtId="165" fontId="2" fillId="0" borderId="6" xfId="6" applyNumberFormat="1" applyFont="1" applyFill="1" applyBorder="1"/>
    <xf numFmtId="165" fontId="2" fillId="0" borderId="3" xfId="0" applyNumberFormat="1" applyFont="1" applyBorder="1"/>
    <xf numFmtId="0" fontId="2" fillId="0" borderId="7" xfId="5" applyFont="1" applyBorder="1"/>
    <xf numFmtId="0" fontId="2" fillId="0" borderId="7" xfId="0" applyFont="1" applyBorder="1"/>
    <xf numFmtId="165" fontId="2" fillId="0" borderId="8" xfId="6" applyNumberFormat="1" applyFont="1" applyFill="1" applyBorder="1"/>
    <xf numFmtId="165" fontId="2" fillId="0" borderId="9" xfId="6" applyNumberFormat="1" applyFont="1" applyFill="1" applyBorder="1"/>
    <xf numFmtId="165" fontId="2" fillId="0" borderId="4" xfId="0" applyNumberFormat="1" applyFont="1" applyBorder="1"/>
    <xf numFmtId="167" fontId="2" fillId="0" borderId="15" xfId="6" applyNumberFormat="1" applyFont="1" applyFill="1" applyBorder="1"/>
    <xf numFmtId="167" fontId="2" fillId="0" borderId="13" xfId="6" applyNumberFormat="1" applyFont="1" applyFill="1" applyBorder="1"/>
    <xf numFmtId="9" fontId="2" fillId="0" borderId="0" xfId="0" applyNumberFormat="1" applyFont="1"/>
    <xf numFmtId="167" fontId="2" fillId="0" borderId="0" xfId="6" applyNumberFormat="1" applyFont="1" applyFill="1" applyBorder="1"/>
    <xf numFmtId="167" fontId="2" fillId="0" borderId="6" xfId="6" applyNumberFormat="1" applyFont="1" applyFill="1" applyBorder="1"/>
    <xf numFmtId="167" fontId="2" fillId="0" borderId="8" xfId="6" applyNumberFormat="1" applyFont="1" applyFill="1" applyBorder="1"/>
    <xf numFmtId="167" fontId="2" fillId="0" borderId="9" xfId="6" applyNumberFormat="1" applyFont="1" applyFill="1" applyBorder="1"/>
    <xf numFmtId="0" fontId="2" fillId="4" borderId="5" xfId="5" applyFont="1" applyFill="1" applyBorder="1"/>
    <xf numFmtId="0" fontId="2" fillId="4" borderId="5" xfId="0" applyFont="1" applyFill="1" applyBorder="1"/>
    <xf numFmtId="168" fontId="2" fillId="4" borderId="15" xfId="1" applyNumberFormat="1" applyFont="1" applyFill="1" applyBorder="1"/>
    <xf numFmtId="168" fontId="2" fillId="4" borderId="13" xfId="1" applyNumberFormat="1" applyFont="1" applyFill="1" applyBorder="1"/>
    <xf numFmtId="168" fontId="2" fillId="4" borderId="0" xfId="1" applyNumberFormat="1" applyFont="1" applyFill="1" applyBorder="1"/>
    <xf numFmtId="168" fontId="2" fillId="4" borderId="6" xfId="1" applyNumberFormat="1" applyFont="1" applyFill="1" applyBorder="1"/>
    <xf numFmtId="0" fontId="2" fillId="4" borderId="7" xfId="5" applyFont="1" applyFill="1" applyBorder="1"/>
    <xf numFmtId="0" fontId="2" fillId="4" borderId="7" xfId="0" applyFont="1" applyFill="1" applyBorder="1"/>
    <xf numFmtId="168" fontId="2" fillId="4" borderId="8" xfId="1" applyNumberFormat="1" applyFont="1" applyFill="1" applyBorder="1"/>
    <xf numFmtId="168" fontId="2" fillId="4" borderId="9" xfId="1" applyNumberFormat="1" applyFont="1" applyFill="1" applyBorder="1"/>
    <xf numFmtId="0" fontId="11" fillId="0" borderId="0" xfId="0" applyFont="1"/>
    <xf numFmtId="165" fontId="11" fillId="0" borderId="0" xfId="0" applyNumberFormat="1" applyFont="1"/>
    <xf numFmtId="0" fontId="13" fillId="0" borderId="0" xfId="0" applyFont="1"/>
    <xf numFmtId="0" fontId="2" fillId="0" borderId="0" xfId="5" applyFont="1"/>
    <xf numFmtId="10" fontId="2" fillId="0" borderId="0" xfId="0" applyNumberFormat="1" applyFont="1"/>
    <xf numFmtId="0" fontId="2" fillId="0" borderId="5" xfId="9" applyFont="1" applyBorder="1"/>
    <xf numFmtId="0" fontId="2" fillId="0" borderId="0" xfId="9" applyFont="1"/>
    <xf numFmtId="165" fontId="2" fillId="0" borderId="0" xfId="10" applyNumberFormat="1" applyFont="1" applyBorder="1"/>
    <xf numFmtId="165" fontId="2" fillId="0" borderId="6" xfId="9" applyNumberFormat="1" applyFont="1" applyBorder="1"/>
    <xf numFmtId="168" fontId="11" fillId="0" borderId="0" xfId="1" applyNumberFormat="1" applyFont="1" applyFill="1" applyBorder="1"/>
    <xf numFmtId="0" fontId="2" fillId="0" borderId="7" xfId="9" applyFont="1" applyBorder="1"/>
    <xf numFmtId="0" fontId="2" fillId="0" borderId="8" xfId="9" applyFont="1" applyBorder="1"/>
    <xf numFmtId="165" fontId="2" fillId="0" borderId="8" xfId="10" applyNumberFormat="1" applyFont="1" applyBorder="1"/>
    <xf numFmtId="165" fontId="2" fillId="0" borderId="9" xfId="9" applyNumberFormat="1" applyFont="1" applyBorder="1"/>
    <xf numFmtId="168" fontId="11" fillId="0" borderId="0" xfId="0" applyNumberFormat="1" applyFont="1"/>
    <xf numFmtId="0" fontId="2" fillId="4" borderId="5" xfId="9" applyFont="1" applyFill="1" applyBorder="1"/>
    <xf numFmtId="0" fontId="2" fillId="4" borderId="0" xfId="9" applyFont="1" applyFill="1"/>
    <xf numFmtId="165" fontId="2" fillId="4" borderId="0" xfId="10" applyNumberFormat="1" applyFont="1" applyFill="1" applyBorder="1"/>
    <xf numFmtId="165" fontId="2" fillId="4" borderId="6" xfId="10" applyNumberFormat="1" applyFont="1" applyFill="1" applyBorder="1"/>
    <xf numFmtId="0" fontId="2" fillId="4" borderId="7" xfId="9" applyFont="1" applyFill="1" applyBorder="1"/>
    <xf numFmtId="0" fontId="2" fillId="4" borderId="8" xfId="9" applyFont="1" applyFill="1" applyBorder="1"/>
    <xf numFmtId="165" fontId="2" fillId="4" borderId="8" xfId="10" applyNumberFormat="1" applyFont="1" applyFill="1" applyBorder="1"/>
    <xf numFmtId="165" fontId="2" fillId="4" borderId="9" xfId="10" applyNumberFormat="1" applyFont="1" applyFill="1" applyBorder="1"/>
    <xf numFmtId="165" fontId="13" fillId="0" borderId="0" xfId="0" applyNumberFormat="1" applyFont="1"/>
    <xf numFmtId="0" fontId="8" fillId="3" borderId="10" xfId="0" applyFont="1" applyFill="1" applyBorder="1"/>
    <xf numFmtId="0" fontId="2" fillId="0" borderId="16" xfId="5" applyFont="1" applyBorder="1" applyAlignment="1">
      <alignment vertical="center"/>
    </xf>
    <xf numFmtId="0" fontId="2" fillId="0" borderId="3" xfId="5" applyFont="1" applyBorder="1" applyAlignment="1">
      <alignment vertical="center"/>
    </xf>
    <xf numFmtId="0" fontId="2" fillId="0" borderId="4" xfId="5" applyFont="1" applyBorder="1" applyAlignment="1">
      <alignment vertical="center"/>
    </xf>
    <xf numFmtId="0" fontId="2" fillId="4" borderId="3" xfId="5" applyFont="1" applyFill="1" applyBorder="1" applyAlignment="1">
      <alignment vertical="center"/>
    </xf>
    <xf numFmtId="0" fontId="2" fillId="4" borderId="4" xfId="5" applyFont="1" applyFill="1" applyBorder="1" applyAlignment="1">
      <alignment vertical="center"/>
    </xf>
    <xf numFmtId="0" fontId="11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2" fillId="0" borderId="0" xfId="5" applyFont="1" applyAlignment="1">
      <alignment vertical="center"/>
    </xf>
    <xf numFmtId="0" fontId="17" fillId="0" borderId="0" xfId="5" applyFont="1"/>
    <xf numFmtId="166" fontId="17" fillId="0" borderId="0" xfId="5" applyNumberFormat="1" applyFont="1" applyAlignment="1">
      <alignment horizontal="center"/>
    </xf>
    <xf numFmtId="10" fontId="16" fillId="0" borderId="0" xfId="0" applyNumberFormat="1" applyFont="1"/>
    <xf numFmtId="0" fontId="20" fillId="0" borderId="0" xfId="0" applyFont="1" applyAlignment="1">
      <alignment horizontal="right"/>
    </xf>
    <xf numFmtId="164" fontId="16" fillId="0" borderId="0" xfId="1" applyNumberFormat="1" applyFont="1"/>
    <xf numFmtId="168" fontId="16" fillId="0" borderId="0" xfId="1" applyNumberFormat="1" applyFont="1"/>
    <xf numFmtId="0" fontId="0" fillId="5" borderId="0" xfId="0" applyFill="1"/>
    <xf numFmtId="0" fontId="0" fillId="6" borderId="0" xfId="0" applyFill="1"/>
    <xf numFmtId="0" fontId="19" fillId="5" borderId="6" xfId="0" applyFont="1" applyFill="1" applyBorder="1" applyAlignment="1">
      <alignment horizontal="right"/>
    </xf>
    <xf numFmtId="0" fontId="19" fillId="6" borderId="6" xfId="0" applyFont="1" applyFill="1" applyBorder="1" applyAlignment="1">
      <alignment horizontal="right"/>
    </xf>
    <xf numFmtId="165" fontId="0" fillId="0" borderId="0" xfId="1" applyNumberFormat="1" applyFont="1"/>
    <xf numFmtId="0" fontId="11" fillId="6" borderId="0" xfId="9" applyFont="1" applyFill="1"/>
    <xf numFmtId="9" fontId="17" fillId="0" borderId="0" xfId="8" applyFont="1" applyAlignment="1">
      <alignment horizontal="center"/>
    </xf>
    <xf numFmtId="0" fontId="16" fillId="5" borderId="0" xfId="0" applyFont="1" applyFill="1"/>
    <xf numFmtId="9" fontId="0" fillId="0" borderId="0" xfId="8" applyFont="1"/>
    <xf numFmtId="165" fontId="16" fillId="0" borderId="0" xfId="1" applyNumberFormat="1" applyFont="1"/>
    <xf numFmtId="0" fontId="2" fillId="6" borderId="5" xfId="9" applyFont="1" applyFill="1" applyBorder="1"/>
    <xf numFmtId="0" fontId="2" fillId="6" borderId="7" xfId="9" applyFont="1" applyFill="1" applyBorder="1"/>
    <xf numFmtId="169" fontId="2" fillId="0" borderId="0" xfId="10" applyNumberFormat="1" applyFont="1" applyBorder="1"/>
    <xf numFmtId="169" fontId="2" fillId="0" borderId="6" xfId="9" applyNumberFormat="1" applyFont="1" applyBorder="1"/>
    <xf numFmtId="169" fontId="2" fillId="0" borderId="8" xfId="10" applyNumberFormat="1" applyFont="1" applyBorder="1"/>
    <xf numFmtId="169" fontId="2" fillId="0" borderId="9" xfId="9" applyNumberFormat="1" applyFont="1" applyBorder="1"/>
    <xf numFmtId="0" fontId="22" fillId="7" borderId="17" xfId="0" applyFont="1" applyFill="1" applyBorder="1" applyAlignment="1">
      <alignment horizontal="centerContinuous"/>
    </xf>
    <xf numFmtId="0" fontId="22" fillId="7" borderId="18" xfId="0" applyFont="1" applyFill="1" applyBorder="1" applyAlignment="1">
      <alignment horizontal="centerContinuous"/>
    </xf>
    <xf numFmtId="0" fontId="22" fillId="7" borderId="19" xfId="0" applyFont="1" applyFill="1" applyBorder="1" applyAlignment="1">
      <alignment horizontal="centerContinuous"/>
    </xf>
    <xf numFmtId="0" fontId="0" fillId="0" borderId="20" xfId="0" applyBorder="1"/>
    <xf numFmtId="0" fontId="0" fillId="0" borderId="21" xfId="0" applyBorder="1"/>
    <xf numFmtId="0" fontId="9" fillId="7" borderId="20" xfId="0" applyFont="1" applyFill="1" applyBorder="1" applyAlignment="1">
      <alignment horizontal="centerContinuous"/>
    </xf>
    <xf numFmtId="0" fontId="9" fillId="7" borderId="0" xfId="0" applyFont="1" applyFill="1" applyAlignment="1">
      <alignment horizontal="centerContinuous"/>
    </xf>
    <xf numFmtId="0" fontId="9" fillId="7" borderId="21" xfId="0" applyFont="1" applyFill="1" applyBorder="1" applyAlignment="1">
      <alignment horizontal="centerContinuous"/>
    </xf>
    <xf numFmtId="0" fontId="0" fillId="5" borderId="20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0" borderId="5" xfId="5" applyFont="1" applyBorder="1"/>
    <xf numFmtId="0" fontId="19" fillId="0" borderId="7" xfId="5" applyFont="1" applyBorder="1"/>
    <xf numFmtId="0" fontId="23" fillId="0" borderId="5" xfId="5" applyFont="1" applyBorder="1" applyAlignment="1">
      <alignment vertical="center"/>
    </xf>
    <xf numFmtId="0" fontId="23" fillId="0" borderId="7" xfId="5" applyFont="1" applyBorder="1" applyAlignment="1">
      <alignment vertical="center"/>
    </xf>
    <xf numFmtId="0" fontId="8" fillId="3" borderId="8" xfId="9" applyFont="1" applyFill="1" applyBorder="1" applyAlignment="1">
      <alignment horizontal="centerContinuous"/>
    </xf>
    <xf numFmtId="0" fontId="8" fillId="3" borderId="14" xfId="9" applyFont="1" applyFill="1" applyBorder="1" applyAlignment="1">
      <alignment horizontal="center"/>
    </xf>
    <xf numFmtId="0" fontId="8" fillId="3" borderId="6" xfId="9" applyFont="1" applyFill="1" applyBorder="1" applyAlignment="1">
      <alignment horizontal="center"/>
    </xf>
    <xf numFmtId="0" fontId="8" fillId="3" borderId="16" xfId="9" applyFont="1" applyFill="1" applyBorder="1" applyAlignment="1">
      <alignment horizontal="center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4" fillId="0" borderId="20" xfId="0" applyFont="1" applyBorder="1" applyAlignment="1">
      <alignment horizontal="centerContinuous"/>
    </xf>
    <xf numFmtId="0" fontId="24" fillId="0" borderId="0" xfId="0" applyFont="1" applyAlignment="1">
      <alignment horizontal="centerContinuous"/>
    </xf>
  </cellXfs>
  <cellStyles count="13">
    <cellStyle name="Comma" xfId="1" builtinId="3"/>
    <cellStyle name="Comma 2" xfId="3" xr:uid="{00000000-0005-0000-0000-000001000000}"/>
    <cellStyle name="Comma 3" xfId="6" xr:uid="{00000000-0005-0000-0000-000002000000}"/>
    <cellStyle name="Comma 4" xfId="10" xr:uid="{00000000-0005-0000-0000-000003000000}"/>
    <cellStyle name="Normal" xfId="0" builtinId="0"/>
    <cellStyle name="Normal 2" xfId="2" xr:uid="{00000000-0005-0000-0000-000005000000}"/>
    <cellStyle name="Normal 3" xfId="5" xr:uid="{00000000-0005-0000-0000-000006000000}"/>
    <cellStyle name="Normal 4" xfId="9" xr:uid="{00000000-0005-0000-0000-000007000000}"/>
    <cellStyle name="Normal 5" xfId="12" xr:uid="{00000000-0005-0000-0000-000008000000}"/>
    <cellStyle name="Note 2" xfId="7" xr:uid="{00000000-0005-0000-0000-000009000000}"/>
    <cellStyle name="Percent" xfId="8" builtinId="5"/>
    <cellStyle name="Percent 2" xfId="4" xr:uid="{00000000-0005-0000-0000-00000B000000}"/>
    <cellStyle name="Percent 3" xfId="11" xr:uid="{00000000-0005-0000-0000-00000C000000}"/>
  </cellStyles>
  <dxfs count="1">
    <dxf>
      <font>
        <b/>
        <i val="0"/>
        <color theme="0"/>
      </font>
      <fill>
        <patternFill patternType="solid">
          <bgColor theme="0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</dxfs>
  <tableStyles count="1" defaultTableStyle="TableStyleMedium9" defaultPivotStyle="PivotStyleLight16">
    <tableStyle name="Slicer Style 1" pivot="0" table="0" count="3" xr9:uid="{00000000-0011-0000-FFFF-FFFF00000000}">
      <tableStyleElement type="wholeTable" dxfId="0"/>
    </tableStyle>
  </tableStyles>
  <colors>
    <mruColors>
      <color rgb="FF0678C6"/>
      <color rgb="FF3333FF"/>
      <color rgb="FF005EA4"/>
      <color rgb="FFA7E8FF"/>
      <color rgb="FF2F75B5"/>
      <color rgb="FF79DCFF"/>
      <color rgb="FF43CEFF"/>
      <color rgb="FF1F487D"/>
      <color rgb="FF0B52A9"/>
      <color rgb="FF0C58B4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4" tint="-0.24994659260841701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CALCULATION!$D$47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CALCULATION!$E$46:$P$46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CALCULATION!$E$47:$P$47</c:f>
              <c:numCache>
                <c:formatCode>_-* #,##0_-;\-* #,##0_-;_-* "-"??_-;_-@_-</c:formatCode>
                <c:ptCount val="12"/>
                <c:pt idx="0">
                  <c:v>778601.04</c:v>
                </c:pt>
                <c:pt idx="1">
                  <c:v>796416.76799999992</c:v>
                </c:pt>
                <c:pt idx="2">
                  <c:v>697843.07299999997</c:v>
                </c:pt>
                <c:pt idx="3">
                  <c:v>631947.88500000001</c:v>
                </c:pt>
                <c:pt idx="4">
                  <c:v>771654.6</c:v>
                </c:pt>
                <c:pt idx="5">
                  <c:v>771182.63999999978</c:v>
                </c:pt>
                <c:pt idx="6">
                  <c:v>695179.5</c:v>
                </c:pt>
                <c:pt idx="7">
                  <c:v>704793.59999999998</c:v>
                </c:pt>
                <c:pt idx="8">
                  <c:v>790227.10000000009</c:v>
                </c:pt>
                <c:pt idx="9">
                  <c:v>743468.10000000009</c:v>
                </c:pt>
                <c:pt idx="10">
                  <c:v>643045.5</c:v>
                </c:pt>
                <c:pt idx="11">
                  <c:v>676475.99999999988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A-4CF0-A589-2FD10872D349}"/>
            </c:ext>
          </c:extLst>
        </c:ser>
        <c:ser>
          <c:idx val="1"/>
          <c:order val="1"/>
          <c:tx>
            <c:strRef>
              <c:f>CALCULATION!$D$48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CALCULATION!$E$46:$P$46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CALCULATION!$E$48:$P$48</c:f>
              <c:numCache>
                <c:formatCode>_-* #,##0_-;\-* #,##0_-;_-* "-"??_-;_-@_-</c:formatCode>
                <c:ptCount val="12"/>
                <c:pt idx="0">
                  <c:v>402420.02456666715</c:v>
                </c:pt>
                <c:pt idx="1">
                  <c:v>619900.56911666703</c:v>
                </c:pt>
                <c:pt idx="2">
                  <c:v>606259.80991666706</c:v>
                </c:pt>
                <c:pt idx="3">
                  <c:v>328206.87101666717</c:v>
                </c:pt>
                <c:pt idx="4">
                  <c:v>520786.60931666713</c:v>
                </c:pt>
                <c:pt idx="5">
                  <c:v>708103.60031666688</c:v>
                </c:pt>
                <c:pt idx="6">
                  <c:v>588464.1001166671</c:v>
                </c:pt>
                <c:pt idx="7">
                  <c:v>587854.485116667</c:v>
                </c:pt>
                <c:pt idx="8">
                  <c:v>624903.3451166671</c:v>
                </c:pt>
                <c:pt idx="9">
                  <c:v>515998.57511666714</c:v>
                </c:pt>
                <c:pt idx="10">
                  <c:v>570686.94011666707</c:v>
                </c:pt>
                <c:pt idx="11">
                  <c:v>603114.52511666692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A-4CF0-A589-2FD10872D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2613280"/>
        <c:axId val="1172613760"/>
      </c:barChart>
      <c:lineChart>
        <c:grouping val="standard"/>
        <c:varyColors val="0"/>
        <c:ser>
          <c:idx val="2"/>
          <c:order val="2"/>
          <c:tx>
            <c:strRef>
              <c:f>CALCULATION!$D$49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CALCULATION!$E$46:$P$46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CALCULATION!$E$49:$P$49</c:f>
              <c:numCache>
                <c:formatCode>_-* #,##0_-;\-* #,##0_-;_-* "-"??_-;_-@_-</c:formatCode>
                <c:ptCount val="12"/>
                <c:pt idx="0">
                  <c:v>376181.01543333288</c:v>
                </c:pt>
                <c:pt idx="1">
                  <c:v>176516.19888333289</c:v>
                </c:pt>
                <c:pt idx="2">
                  <c:v>91583.263083332917</c:v>
                </c:pt>
                <c:pt idx="3">
                  <c:v>303741.01398333284</c:v>
                </c:pt>
                <c:pt idx="4">
                  <c:v>250867.99068333284</c:v>
                </c:pt>
                <c:pt idx="5">
                  <c:v>63079.0396833329</c:v>
                </c:pt>
                <c:pt idx="6">
                  <c:v>106715.3998833329</c:v>
                </c:pt>
                <c:pt idx="7">
                  <c:v>116939.11488333298</c:v>
                </c:pt>
                <c:pt idx="8">
                  <c:v>165323.75488333299</c:v>
                </c:pt>
                <c:pt idx="9">
                  <c:v>227469.52488333295</c:v>
                </c:pt>
                <c:pt idx="10">
                  <c:v>72358.559883332928</c:v>
                </c:pt>
                <c:pt idx="11">
                  <c:v>73361.474883332965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A-4CF0-A589-2FD10872D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613280"/>
        <c:axId val="1172613760"/>
      </c:lineChart>
      <c:catAx>
        <c:axId val="11726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13760"/>
        <c:crosses val="autoZero"/>
        <c:auto val="1"/>
        <c:lblAlgn val="ctr"/>
        <c:lblOffset val="100"/>
        <c:noMultiLvlLbl val="0"/>
      </c:catAx>
      <c:valAx>
        <c:axId val="117261376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1328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CALCULATION!$C$56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CALCULATION!$E$55:$P$55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CALCULATION!$E$56:$P$56</c:f>
              <c:numCache>
                <c:formatCode>0%</c:formatCode>
                <c:ptCount val="12"/>
                <c:pt idx="0">
                  <c:v>0.61679968750000003</c:v>
                </c:pt>
                <c:pt idx="1">
                  <c:v>0.46055553097345131</c:v>
                </c:pt>
                <c:pt idx="2">
                  <c:v>0.11890080618749516</c:v>
                </c:pt>
                <c:pt idx="3">
                  <c:v>0.57069947058823522</c:v>
                </c:pt>
                <c:pt idx="4">
                  <c:v>0.55491550000000001</c:v>
                </c:pt>
                <c:pt idx="5">
                  <c:v>0.40927000000000002</c:v>
                </c:pt>
                <c:pt idx="6">
                  <c:v>0.23860000000000009</c:v>
                </c:pt>
                <c:pt idx="7">
                  <c:v>8.6319999999999869E-2</c:v>
                </c:pt>
                <c:pt idx="8">
                  <c:v>0.21430000000000007</c:v>
                </c:pt>
                <c:pt idx="9">
                  <c:v>0.27100000000000002</c:v>
                </c:pt>
                <c:pt idx="10">
                  <c:v>0.23860000000000006</c:v>
                </c:pt>
                <c:pt idx="11">
                  <c:v>0.25470999999999994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73-4A01-B499-3ED8F89562C4}"/>
            </c:ext>
          </c:extLst>
        </c:ser>
        <c:ser>
          <c:idx val="1"/>
          <c:order val="1"/>
          <c:tx>
            <c:strRef>
              <c:f>CALCULATION!$C$57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CALCULATION!$E$55:$P$55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CALCULATION!$E$57:$P$57</c:f>
              <c:numCache>
                <c:formatCode>0%</c:formatCode>
                <c:ptCount val="12"/>
                <c:pt idx="0">
                  <c:v>0.48314990104987898</c:v>
                </c:pt>
                <c:pt idx="1">
                  <c:v>0.22163797395502968</c:v>
                </c:pt>
                <c:pt idx="2">
                  <c:v>0.13123761863769753</c:v>
                </c:pt>
                <c:pt idx="3">
                  <c:v>0.48064250422063337</c:v>
                </c:pt>
                <c:pt idx="4">
                  <c:v>0.32510399171252635</c:v>
                </c:pt>
                <c:pt idx="5">
                  <c:v>8.1795201825773614E-2</c:v>
                </c:pt>
                <c:pt idx="6">
                  <c:v>0.15350769101121781</c:v>
                </c:pt>
                <c:pt idx="7">
                  <c:v>0.16591966056918364</c:v>
                </c:pt>
                <c:pt idx="8">
                  <c:v>0.20921043442237425</c:v>
                </c:pt>
                <c:pt idx="9">
                  <c:v>0.3059573435408095</c:v>
                </c:pt>
                <c:pt idx="10">
                  <c:v>0.11252479005503176</c:v>
                </c:pt>
                <c:pt idx="11">
                  <c:v>0.10844653008138201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73-4A01-B499-3ED8F8956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889792"/>
        <c:axId val="1116876352"/>
      </c:lineChart>
      <c:catAx>
        <c:axId val="11168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76352"/>
        <c:crosses val="autoZero"/>
        <c:auto val="1"/>
        <c:lblAlgn val="ctr"/>
        <c:lblOffset val="100"/>
        <c:noMultiLvlLbl val="0"/>
      </c:catAx>
      <c:valAx>
        <c:axId val="11168763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CALCULATION!$B$64</c:f>
              <c:strCache>
                <c:ptCount val="1"/>
                <c:pt idx="0">
                  <c:v>Hanoi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CALCULATION!$E$63:$P$63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CALCULATION!$E$64:$P$64</c:f>
              <c:numCache>
                <c:formatCode>0%</c:formatCode>
                <c:ptCount val="12"/>
                <c:pt idx="0">
                  <c:v>0.48314990104987898</c:v>
                </c:pt>
                <c:pt idx="1">
                  <c:v>0.22163797395502968</c:v>
                </c:pt>
                <c:pt idx="2">
                  <c:v>0.13123761863769753</c:v>
                </c:pt>
                <c:pt idx="3">
                  <c:v>0.48064250422063337</c:v>
                </c:pt>
                <c:pt idx="4">
                  <c:v>0.32510399171252635</c:v>
                </c:pt>
                <c:pt idx="5">
                  <c:v>8.1795201825773614E-2</c:v>
                </c:pt>
                <c:pt idx="6">
                  <c:v>0.15350769101121781</c:v>
                </c:pt>
                <c:pt idx="7">
                  <c:v>0.16591966056918364</c:v>
                </c:pt>
                <c:pt idx="8">
                  <c:v>0.20921043442237425</c:v>
                </c:pt>
                <c:pt idx="9">
                  <c:v>0.3059573435408095</c:v>
                </c:pt>
                <c:pt idx="10">
                  <c:v>0.11252479005503176</c:v>
                </c:pt>
                <c:pt idx="11">
                  <c:v>0.10844653008138201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DD-4DCC-8E17-F2456C90EE74}"/>
            </c:ext>
          </c:extLst>
        </c:ser>
        <c:ser>
          <c:idx val="1"/>
          <c:order val="1"/>
          <c:tx>
            <c:strRef>
              <c:f>CALCULATION!$B$65</c:f>
              <c:strCache>
                <c:ptCount val="1"/>
                <c:pt idx="0">
                  <c:v>Da Nang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CALCULATION!$E$63:$P$63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CALCULATION!$E$65:$P$65</c:f>
              <c:numCache>
                <c:formatCode>0%</c:formatCode>
                <c:ptCount val="12"/>
                <c:pt idx="0">
                  <c:v>0.25771598333279511</c:v>
                </c:pt>
                <c:pt idx="1">
                  <c:v>0.17141561667155028</c:v>
                </c:pt>
                <c:pt idx="2">
                  <c:v>0.26853168519132553</c:v>
                </c:pt>
                <c:pt idx="3">
                  <c:v>0.10387430569381803</c:v>
                </c:pt>
                <c:pt idx="4">
                  <c:v>0.14427289601601795</c:v>
                </c:pt>
                <c:pt idx="5">
                  <c:v>8.9524446134311361E-2</c:v>
                </c:pt>
                <c:pt idx="6">
                  <c:v>0.17246836170551691</c:v>
                </c:pt>
                <c:pt idx="7">
                  <c:v>9.8100288586414341E-2</c:v>
                </c:pt>
                <c:pt idx="8">
                  <c:v>9.7964788279330708E-2</c:v>
                </c:pt>
                <c:pt idx="9">
                  <c:v>4.4541575629075202E-2</c:v>
                </c:pt>
                <c:pt idx="10">
                  <c:v>8.0840502170809014E-2</c:v>
                </c:pt>
                <c:pt idx="11">
                  <c:v>0.11597054248744804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DD-4DCC-8E17-F2456C90EE74}"/>
            </c:ext>
          </c:extLst>
        </c:ser>
        <c:ser>
          <c:idx val="2"/>
          <c:order val="2"/>
          <c:tx>
            <c:strRef>
              <c:f>CALCULATION!$B$66</c:f>
              <c:strCache>
                <c:ptCount val="1"/>
                <c:pt idx="0">
                  <c:v>HCMC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CALCULATION!$E$63:$P$63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CALCULATION!$E$66:$P$66</c:f>
              <c:numCache>
                <c:formatCode>0%</c:formatCode>
                <c:ptCount val="12"/>
                <c:pt idx="0">
                  <c:v>0.3519339962443771</c:v>
                </c:pt>
                <c:pt idx="1">
                  <c:v>0.39374869813587893</c:v>
                </c:pt>
                <c:pt idx="2">
                  <c:v>0.33963602270576959</c:v>
                </c:pt>
                <c:pt idx="3">
                  <c:v>0.48869377200687913</c:v>
                </c:pt>
                <c:pt idx="4">
                  <c:v>0.11014009191941608</c:v>
                </c:pt>
                <c:pt idx="5">
                  <c:v>0.2396338441563583</c:v>
                </c:pt>
                <c:pt idx="6">
                  <c:v>0.13719970342395973</c:v>
                </c:pt>
                <c:pt idx="7">
                  <c:v>6.3362984453682034E-2</c:v>
                </c:pt>
                <c:pt idx="8">
                  <c:v>0.17269887166669443</c:v>
                </c:pt>
                <c:pt idx="9">
                  <c:v>0.1675849667575911</c:v>
                </c:pt>
                <c:pt idx="10">
                  <c:v>0.13951325629680009</c:v>
                </c:pt>
                <c:pt idx="11">
                  <c:v>0.28362651661064076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DD-4DCC-8E17-F2456C90E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889792"/>
        <c:axId val="1116876352"/>
      </c:lineChart>
      <c:catAx>
        <c:axId val="11168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76352"/>
        <c:crosses val="autoZero"/>
        <c:auto val="1"/>
        <c:lblAlgn val="ctr"/>
        <c:lblOffset val="100"/>
        <c:noMultiLvlLbl val="0"/>
      </c:catAx>
      <c:valAx>
        <c:axId val="11168763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CALCULATION!$D$74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1-4A9A-B03E-A86A0EE403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1-4A9A-B03E-A86A0EE403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1-4A9A-B03E-A86A0EE403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CALCULATION!$B$75:$B$77</c:f>
              <c:strCache>
                <c:ptCount val="3"/>
                <c:pt idx="0">
                  <c:v>Hanoi</c:v>
                </c:pt>
                <c:pt idx="1">
                  <c:v>Da Nang</c:v>
                </c:pt>
                <c:pt idx="2">
                  <c:v>HCMC</c:v>
                </c:pt>
              </c:strCache>
            </c:strRef>
          </c:cat>
          <c:val>
            <c:numRef>
              <c:f>CALCULATION!$D$75:$D$77</c:f>
              <c:numCache>
                <c:formatCode>_-* #,##0_-;\-* #,##0_-;_-* "-"??_-;_-@_-</c:formatCode>
                <c:ptCount val="3"/>
                <c:pt idx="0">
                  <c:v>8700835.8059999999</c:v>
                </c:pt>
                <c:pt idx="1">
                  <c:v>9183736.313000001</c:v>
                </c:pt>
                <c:pt idx="2">
                  <c:v>14215913.204400001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A1-4A9A-B03E-A86A0EE403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CALCULATION!$E$74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9F-454F-9483-4C7B934400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F-454F-9483-4C7B934400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9F-454F-9483-4C7B934400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CALCULATION!$B$75:$B$77</c:f>
              <c:strCache>
                <c:ptCount val="3"/>
                <c:pt idx="0">
                  <c:v>Hanoi</c:v>
                </c:pt>
                <c:pt idx="1">
                  <c:v>Da Nang</c:v>
                </c:pt>
                <c:pt idx="2">
                  <c:v>HCMC</c:v>
                </c:pt>
              </c:strCache>
            </c:strRef>
          </c:cat>
          <c:val>
            <c:numRef>
              <c:f>CALCULATION!$E$75:$E$77</c:f>
              <c:numCache>
                <c:formatCode>_-* #,##0_-;\-* #,##0_-;_-* "-"??_-;_-@_-</c:formatCode>
                <c:ptCount val="3"/>
                <c:pt idx="0">
                  <c:v>6676699.4549500057</c:v>
                </c:pt>
                <c:pt idx="1">
                  <c:v>7906699.4549499992</c:v>
                </c:pt>
                <c:pt idx="2">
                  <c:v>10726244.177549999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9F-454F-9483-4C7B934400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CALCULATION!$F$74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F6-4A7A-AF04-195CA23C36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F6-4A7A-AF04-195CA23C36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F6-4A7A-AF04-195CA23C3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CALCULATION!$B$75:$B$77</c:f>
              <c:strCache>
                <c:ptCount val="3"/>
                <c:pt idx="0">
                  <c:v>Hanoi</c:v>
                </c:pt>
                <c:pt idx="1">
                  <c:v>Da Nang</c:v>
                </c:pt>
                <c:pt idx="2">
                  <c:v>HCMC</c:v>
                </c:pt>
              </c:strCache>
            </c:strRef>
          </c:cat>
          <c:val>
            <c:numRef>
              <c:f>CALCULATION!$F$75:$F$77</c:f>
              <c:numCache>
                <c:formatCode>_-* #,##0_-;\-* #,##0_-;_-* "-"??_-;_-@_-</c:formatCode>
                <c:ptCount val="3"/>
                <c:pt idx="0">
                  <c:v>2024136.351049995</c:v>
                </c:pt>
                <c:pt idx="1">
                  <c:v>1277036.8580500009</c:v>
                </c:pt>
                <c:pt idx="2">
                  <c:v>3489669.026850001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F6-4A7A-AF04-195CA23C36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CALCULATION!$I$84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CALCULATION!$H$85:$H$93</c:f>
              <c:strCache>
                <c:ptCount val="9"/>
                <c:pt idx="0">
                  <c:v>Travel and Entertainment</c:v>
                </c:pt>
                <c:pt idx="1">
                  <c:v>Insurance</c:v>
                </c:pt>
                <c:pt idx="2">
                  <c:v>Advertising and marketing</c:v>
                </c:pt>
                <c:pt idx="3">
                  <c:v>Professional fees</c:v>
                </c:pt>
                <c:pt idx="4">
                  <c:v>Hiring and Training</c:v>
                </c:pt>
                <c:pt idx="5">
                  <c:v>Vehicle</c:v>
                </c:pt>
                <c:pt idx="6">
                  <c:v>Telephone</c:v>
                </c:pt>
                <c:pt idx="7">
                  <c:v>Occupancy</c:v>
                </c:pt>
                <c:pt idx="8">
                  <c:v>Wages and Benfits</c:v>
                </c:pt>
              </c:strCache>
            </c:strRef>
          </c:cat>
          <c:val>
            <c:numRef>
              <c:f>CALCULATION!$I$85:$I$93</c:f>
              <c:numCache>
                <c:formatCode>#.0,,\ "m"</c:formatCode>
                <c:ptCount val="9"/>
                <c:pt idx="0">
                  <c:v>363821.58973603108</c:v>
                </c:pt>
                <c:pt idx="1">
                  <c:v>449537.62095840246</c:v>
                </c:pt>
                <c:pt idx="2">
                  <c:v>503039.03478808375</c:v>
                </c:pt>
                <c:pt idx="3">
                  <c:v>590381.76447235362</c:v>
                </c:pt>
                <c:pt idx="4">
                  <c:v>576803.32320082514</c:v>
                </c:pt>
                <c:pt idx="5">
                  <c:v>599746.75733520999</c:v>
                </c:pt>
                <c:pt idx="6">
                  <c:v>781713.43877614976</c:v>
                </c:pt>
                <c:pt idx="7">
                  <c:v>728720.99194988445</c:v>
                </c:pt>
                <c:pt idx="8">
                  <c:v>1407144.0682680598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1-46CA-A53E-E35DB2BC6B30}"/>
            </c:ext>
          </c:extLst>
        </c:ser>
        <c:ser>
          <c:idx val="1"/>
          <c:order val="1"/>
          <c:tx>
            <c:strRef>
              <c:f>CALCULATION!$J$84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CALCULATION!$H$85:$H$93</c:f>
              <c:strCache>
                <c:ptCount val="9"/>
                <c:pt idx="0">
                  <c:v>Travel and Entertainment</c:v>
                </c:pt>
                <c:pt idx="1">
                  <c:v>Insurance</c:v>
                </c:pt>
                <c:pt idx="2">
                  <c:v>Advertising and marketing</c:v>
                </c:pt>
                <c:pt idx="3">
                  <c:v>Professional fees</c:v>
                </c:pt>
                <c:pt idx="4">
                  <c:v>Hiring and Training</c:v>
                </c:pt>
                <c:pt idx="5">
                  <c:v>Vehicle</c:v>
                </c:pt>
                <c:pt idx="6">
                  <c:v>Telephone</c:v>
                </c:pt>
                <c:pt idx="7">
                  <c:v>Occupancy</c:v>
                </c:pt>
                <c:pt idx="8">
                  <c:v>Wages and Benfits</c:v>
                </c:pt>
              </c:strCache>
            </c:strRef>
          </c:cat>
          <c:val>
            <c:numRef>
              <c:f>CALCULATION!$J$85:$J$93</c:f>
              <c:numCache>
                <c:formatCode>#.0,,\ "m"</c:formatCode>
                <c:ptCount val="9"/>
                <c:pt idx="0">
                  <c:v>383609.34569668199</c:v>
                </c:pt>
                <c:pt idx="1">
                  <c:v>497547.26181992103</c:v>
                </c:pt>
                <c:pt idx="2">
                  <c:v>568663.94226428994</c:v>
                </c:pt>
                <c:pt idx="3">
                  <c:v>484764.145071437</c:v>
                </c:pt>
                <c:pt idx="4">
                  <c:v>666715.02076391899</c:v>
                </c:pt>
                <c:pt idx="5">
                  <c:v>697212.54890076001</c:v>
                </c:pt>
                <c:pt idx="6">
                  <c:v>839091.50889897998</c:v>
                </c:pt>
                <c:pt idx="7">
                  <c:v>868651.37214098498</c:v>
                </c:pt>
                <c:pt idx="8">
                  <c:v>1670444.3093930299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1-46CA-A53E-E35DB2BC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167327"/>
        <c:axId val="791182207"/>
      </c:barChart>
      <c:catAx>
        <c:axId val="79116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82207"/>
        <c:crosses val="autoZero"/>
        <c:auto val="1"/>
        <c:lblAlgn val="ctr"/>
        <c:lblOffset val="100"/>
        <c:noMultiLvlLbl val="0"/>
      </c:catAx>
      <c:valAx>
        <c:axId val="791182207"/>
        <c:scaling>
          <c:orientation val="minMax"/>
        </c:scaling>
        <c:delete val="0"/>
        <c:axPos val="b"/>
        <c:numFmt formatCode="#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6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CALCULATION!$C$32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Drop" dropStyle="combo" dx="67" fmlaLink="CALCULATION!$C$37" fmlaRange="CALCULATION!$B$37:$B$40" noThreeD="1" sel="1" val="0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Drop" dropStyle="combo" dx="35" noThreeD="1" sel="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10886</xdr:rowOff>
        </xdr:from>
        <xdr:to>
          <xdr:col>1</xdr:col>
          <xdr:colOff>261257</xdr:colOff>
          <xdr:row>6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ACTUAL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76200</xdr:rowOff>
        </xdr:from>
        <xdr:to>
          <xdr:col>1</xdr:col>
          <xdr:colOff>261257</xdr:colOff>
          <xdr:row>8</xdr:row>
          <xdr:rowOff>65314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43543</xdr:colOff>
          <xdr:row>9</xdr:row>
          <xdr:rowOff>5443</xdr:rowOff>
        </xdr:from>
        <xdr:to>
          <xdr:col>0</xdr:col>
          <xdr:colOff>762000</xdr:colOff>
          <xdr:row>10</xdr:row>
          <xdr:rowOff>38100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4</xdr:row>
      <xdr:rowOff>278</xdr:rowOff>
    </xdr:from>
    <xdr:to>
      <xdr:col>10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4</xdr:row>
      <xdr:rowOff>0</xdr:rowOff>
    </xdr:from>
    <xdr:to>
      <xdr:col>20</xdr:col>
      <xdr:colOff>0</xdr:colOff>
      <xdr:row>19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C88984-E2B5-411F-8CF3-D4B0225FD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CF7336-6C72-45B4-A1C3-71756880C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22</xdr:row>
      <xdr:rowOff>12779</xdr:rowOff>
    </xdr:from>
    <xdr:to>
      <xdr:col>4</xdr:col>
      <xdr:colOff>22412</xdr:colOff>
      <xdr:row>36</xdr:row>
      <xdr:rowOff>12779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7C01CA-02FA-46F7-84AE-DB3FD7C96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10138</xdr:colOff>
      <xdr:row>22</xdr:row>
      <xdr:rowOff>12779</xdr:rowOff>
    </xdr:from>
    <xdr:to>
      <xdr:col>7</xdr:col>
      <xdr:colOff>0</xdr:colOff>
      <xdr:row>36</xdr:row>
      <xdr:rowOff>12779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B7486E-D8DA-46C3-89FA-D5FE0D435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22</xdr:row>
      <xdr:rowOff>21851</xdr:rowOff>
    </xdr:from>
    <xdr:to>
      <xdr:col>10</xdr:col>
      <xdr:colOff>0</xdr:colOff>
      <xdr:row>36</xdr:row>
      <xdr:rowOff>21851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2A99B7-2284-4537-9335-FC403B89D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4</xdr:row>
      <xdr:rowOff>0</xdr:rowOff>
    </xdr:from>
    <xdr:to>
      <xdr:col>29</xdr:col>
      <xdr:colOff>0</xdr:colOff>
      <xdr:row>36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F94F2C-5B35-4B0E-B673-3B32BA715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549729</xdr:colOff>
          <xdr:row>9</xdr:row>
          <xdr:rowOff>38100</xdr:rowOff>
        </xdr:from>
        <xdr:to>
          <xdr:col>46</xdr:col>
          <xdr:colOff>506186</xdr:colOff>
          <xdr:row>11</xdr:row>
          <xdr:rowOff>130629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609600</xdr:colOff>
          <xdr:row>15</xdr:row>
          <xdr:rowOff>157843</xdr:rowOff>
        </xdr:from>
        <xdr:to>
          <xdr:col>48</xdr:col>
          <xdr:colOff>206829</xdr:colOff>
          <xdr:row>21</xdr:row>
          <xdr:rowOff>16329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showGridLines="0" topLeftCell="A4" zoomScaleNormal="100" workbookViewId="0">
      <selection activeCell="K23" sqref="K23"/>
    </sheetView>
  </sheetViews>
  <sheetFormatPr defaultColWidth="9.15234375" defaultRowHeight="14.6" x14ac:dyDescent="0.4"/>
  <cols>
    <col min="1" max="1" width="11" style="47" customWidth="1"/>
    <col min="2" max="2" width="11.4609375" style="47" bestFit="1" customWidth="1"/>
    <col min="3" max="3" width="26" style="47" bestFit="1" customWidth="1"/>
    <col min="4" max="4" width="16" style="47" customWidth="1"/>
    <col min="5" max="5" width="13" style="47" customWidth="1"/>
    <col min="6" max="7" width="14" style="47" bestFit="1" customWidth="1"/>
    <col min="8" max="8" width="19.15234375" style="47" customWidth="1"/>
    <col min="9" max="9" width="13.69140625" style="47" customWidth="1"/>
    <col min="10" max="10" width="15" style="47" bestFit="1" customWidth="1"/>
    <col min="11" max="16" width="14" style="47" bestFit="1" customWidth="1"/>
    <col min="17" max="17" width="15.23046875" style="47" bestFit="1" customWidth="1"/>
    <col min="18" max="18" width="9.15234375" style="47"/>
    <col min="19" max="20" width="16.15234375" style="47" bestFit="1" customWidth="1"/>
    <col min="21" max="16384" width="9.15234375" style="47"/>
  </cols>
  <sheetData>
    <row r="1" spans="1:17" x14ac:dyDescent="0.4">
      <c r="C1" s="48"/>
    </row>
    <row r="2" spans="1:17" x14ac:dyDescent="0.4">
      <c r="A2" s="34" t="s">
        <v>44</v>
      </c>
      <c r="B2" s="20" t="s">
        <v>45</v>
      </c>
    </row>
    <row r="4" spans="1:17" x14ac:dyDescent="0.4">
      <c r="B4" s="32" t="s">
        <v>52</v>
      </c>
      <c r="C4" s="7" t="s">
        <v>28</v>
      </c>
      <c r="D4" s="105" t="s">
        <v>14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4" t="s">
        <v>20</v>
      </c>
      <c r="Q4" s="5" t="s">
        <v>13</v>
      </c>
    </row>
    <row r="5" spans="1:17" x14ac:dyDescent="0.4">
      <c r="B5" s="106" t="s">
        <v>41</v>
      </c>
      <c r="C5" s="49" t="s">
        <v>1</v>
      </c>
      <c r="D5" s="50" t="s">
        <v>0</v>
      </c>
      <c r="E5" s="43">
        <v>832048.00000000012</v>
      </c>
      <c r="F5" s="43">
        <v>873263.99999999988</v>
      </c>
      <c r="G5" s="43">
        <v>489762</v>
      </c>
      <c r="H5" s="43">
        <v>621690</v>
      </c>
      <c r="I5" s="43">
        <v>902520</v>
      </c>
      <c r="J5" s="43">
        <v>901967.99999999977</v>
      </c>
      <c r="K5" s="51">
        <v>742900</v>
      </c>
      <c r="L5" s="51">
        <v>772800</v>
      </c>
      <c r="M5" s="51">
        <v>777400</v>
      </c>
      <c r="N5" s="51">
        <v>731400</v>
      </c>
      <c r="O5" s="51">
        <v>752100</v>
      </c>
      <c r="P5" s="52">
        <v>791199.99999999988</v>
      </c>
      <c r="Q5" s="53">
        <f t="shared" ref="Q5:Q22" si="0">SUM(E5:P5)</f>
        <v>9189052</v>
      </c>
    </row>
    <row r="6" spans="1:17" x14ac:dyDescent="0.4">
      <c r="B6" s="107" t="s">
        <v>43</v>
      </c>
      <c r="C6" s="54" t="s">
        <v>1</v>
      </c>
      <c r="D6" s="55" t="s">
        <v>0</v>
      </c>
      <c r="E6" s="18">
        <v>816546</v>
      </c>
      <c r="F6" s="18">
        <v>679558</v>
      </c>
      <c r="G6" s="18">
        <v>966276.00000000012</v>
      </c>
      <c r="H6" s="18">
        <v>610650</v>
      </c>
      <c r="I6" s="18">
        <v>684614</v>
      </c>
      <c r="J6" s="18">
        <v>643057</v>
      </c>
      <c r="K6" s="56">
        <v>841800</v>
      </c>
      <c r="L6" s="56">
        <v>860200</v>
      </c>
      <c r="M6" s="56">
        <v>894700</v>
      </c>
      <c r="N6" s="56">
        <v>814200</v>
      </c>
      <c r="O6" s="56">
        <v>823400</v>
      </c>
      <c r="P6" s="57">
        <v>880900</v>
      </c>
      <c r="Q6" s="58">
        <f t="shared" si="0"/>
        <v>9515901</v>
      </c>
    </row>
    <row r="7" spans="1:17" x14ac:dyDescent="0.4">
      <c r="B7" s="107" t="s">
        <v>42</v>
      </c>
      <c r="C7" s="54" t="s">
        <v>1</v>
      </c>
      <c r="D7" s="55" t="s">
        <v>0</v>
      </c>
      <c r="E7" s="18">
        <v>920920</v>
      </c>
      <c r="F7" s="18">
        <v>1311161</v>
      </c>
      <c r="G7" s="18">
        <v>1025133</v>
      </c>
      <c r="H7" s="18">
        <v>1354286</v>
      </c>
      <c r="I7" s="18">
        <v>892584</v>
      </c>
      <c r="J7" s="18">
        <v>998020</v>
      </c>
      <c r="K7" s="56">
        <v>1196000</v>
      </c>
      <c r="L7" s="56">
        <v>1202900</v>
      </c>
      <c r="M7" s="56">
        <v>1235100</v>
      </c>
      <c r="N7" s="56">
        <v>1147700</v>
      </c>
      <c r="O7" s="56">
        <v>1159200</v>
      </c>
      <c r="P7" s="57">
        <v>1276500</v>
      </c>
      <c r="Q7" s="58">
        <f t="shared" si="0"/>
        <v>13719504</v>
      </c>
    </row>
    <row r="8" spans="1:17" x14ac:dyDescent="0.4">
      <c r="B8" s="106" t="s">
        <v>41</v>
      </c>
      <c r="C8" s="49" t="s">
        <v>11</v>
      </c>
      <c r="D8" s="50" t="s">
        <v>0</v>
      </c>
      <c r="E8" s="43">
        <v>778601.04</v>
      </c>
      <c r="F8" s="43">
        <v>796416.76799999992</v>
      </c>
      <c r="G8" s="43">
        <v>697843.07299999997</v>
      </c>
      <c r="H8" s="43">
        <v>631947.88500000001</v>
      </c>
      <c r="I8" s="43">
        <v>771654.6</v>
      </c>
      <c r="J8" s="43">
        <v>771182.63999999978</v>
      </c>
      <c r="K8" s="51">
        <v>695179.5</v>
      </c>
      <c r="L8" s="51">
        <v>704793.59999999998</v>
      </c>
      <c r="M8" s="51">
        <v>790227.10000000009</v>
      </c>
      <c r="N8" s="51">
        <v>743468.10000000009</v>
      </c>
      <c r="O8" s="51">
        <v>643045.5</v>
      </c>
      <c r="P8" s="52">
        <v>676475.99999999988</v>
      </c>
      <c r="Q8" s="53">
        <f t="shared" si="0"/>
        <v>8700835.8059999999</v>
      </c>
    </row>
    <row r="9" spans="1:17" x14ac:dyDescent="0.4">
      <c r="B9" s="107" t="s">
        <v>43</v>
      </c>
      <c r="C9" s="54" t="s">
        <v>11</v>
      </c>
      <c r="D9" s="55" t="s">
        <v>0</v>
      </c>
      <c r="E9" s="18">
        <v>752447.13899999997</v>
      </c>
      <c r="F9" s="18">
        <v>632668.49800000002</v>
      </c>
      <c r="G9" s="18">
        <v>963860.31</v>
      </c>
      <c r="H9" s="18">
        <v>580117.5</v>
      </c>
      <c r="I9" s="18">
        <v>666490.96600000001</v>
      </c>
      <c r="J9" s="18">
        <v>710904.15</v>
      </c>
      <c r="K9" s="56">
        <v>775718.7</v>
      </c>
      <c r="L9" s="56">
        <v>800846.2</v>
      </c>
      <c r="M9" s="56">
        <v>892463.25</v>
      </c>
      <c r="N9" s="56">
        <v>773490</v>
      </c>
      <c r="O9" s="56">
        <v>797874.6</v>
      </c>
      <c r="P9" s="57">
        <v>836855</v>
      </c>
      <c r="Q9" s="58">
        <f t="shared" si="0"/>
        <v>9183736.313000001</v>
      </c>
    </row>
    <row r="10" spans="1:17" x14ac:dyDescent="0.4">
      <c r="B10" s="108" t="s">
        <v>42</v>
      </c>
      <c r="C10" s="59" t="s">
        <v>11</v>
      </c>
      <c r="D10" s="60" t="s">
        <v>0</v>
      </c>
      <c r="E10" s="44">
        <v>962361.4</v>
      </c>
      <c r="F10" s="44">
        <v>1312472.1610000003</v>
      </c>
      <c r="G10" s="44">
        <v>1071263.9849999999</v>
      </c>
      <c r="H10" s="44">
        <v>1415228.8699999999</v>
      </c>
      <c r="I10" s="44">
        <v>913113.43200000015</v>
      </c>
      <c r="J10" s="44">
        <v>976149.25140000007</v>
      </c>
      <c r="K10" s="61">
        <v>1249820</v>
      </c>
      <c r="L10" s="61">
        <v>1204102.9000000001</v>
      </c>
      <c r="M10" s="61">
        <v>1290679.5</v>
      </c>
      <c r="N10" s="61">
        <v>1199346.5</v>
      </c>
      <c r="O10" s="61">
        <v>1185861.6000000001</v>
      </c>
      <c r="P10" s="62">
        <v>1435513.605</v>
      </c>
      <c r="Q10" s="63">
        <f t="shared" si="0"/>
        <v>14215913.204400001</v>
      </c>
    </row>
    <row r="11" spans="1:17" x14ac:dyDescent="0.4">
      <c r="B11" s="107" t="s">
        <v>41</v>
      </c>
      <c r="C11" s="54" t="s">
        <v>1</v>
      </c>
      <c r="D11" s="55" t="s">
        <v>12</v>
      </c>
      <c r="E11" s="18">
        <v>318841.05361499998</v>
      </c>
      <c r="F11" s="18">
        <v>471077.43479999993</v>
      </c>
      <c r="G11" s="18">
        <v>431528.90336</v>
      </c>
      <c r="H11" s="18">
        <v>266891.84613000002</v>
      </c>
      <c r="I11" s="18">
        <v>401697.66294000001</v>
      </c>
      <c r="J11" s="18">
        <v>532819.55663999985</v>
      </c>
      <c r="K11" s="56">
        <v>565644.05999999994</v>
      </c>
      <c r="L11" s="56">
        <v>706091.9040000001</v>
      </c>
      <c r="M11" s="56">
        <v>610803.17999999993</v>
      </c>
      <c r="N11" s="56">
        <v>533190.6</v>
      </c>
      <c r="O11" s="56">
        <v>572648.93999999994</v>
      </c>
      <c r="P11" s="57">
        <v>589673.44799999997</v>
      </c>
      <c r="Q11" s="58">
        <f t="shared" si="0"/>
        <v>6000908.5894849999</v>
      </c>
    </row>
    <row r="12" spans="1:17" x14ac:dyDescent="0.4">
      <c r="B12" s="107" t="s">
        <v>43</v>
      </c>
      <c r="C12" s="54" t="s">
        <v>1</v>
      </c>
      <c r="D12" s="55" t="s">
        <v>12</v>
      </c>
      <c r="E12" s="18">
        <v>535053.97259999998</v>
      </c>
      <c r="F12" s="18">
        <v>581036.79941999994</v>
      </c>
      <c r="G12" s="18">
        <v>567606.62699999998</v>
      </c>
      <c r="H12" s="18">
        <v>437984.07155999995</v>
      </c>
      <c r="I12" s="18">
        <v>643317.40225000004</v>
      </c>
      <c r="J12" s="18">
        <v>527165.92813500005</v>
      </c>
      <c r="K12" s="56">
        <v>703222.88400000008</v>
      </c>
      <c r="L12" s="56">
        <v>662388.40800000005</v>
      </c>
      <c r="M12" s="56">
        <v>741375.26099999994</v>
      </c>
      <c r="N12" s="56">
        <v>701929.96200000006</v>
      </c>
      <c r="O12" s="56">
        <v>737428.8060000001</v>
      </c>
      <c r="P12" s="57">
        <v>663581.97000000009</v>
      </c>
      <c r="Q12" s="58">
        <f t="shared" si="0"/>
        <v>7502092.0919650001</v>
      </c>
    </row>
    <row r="13" spans="1:17" x14ac:dyDescent="0.4">
      <c r="B13" s="108" t="s">
        <v>42</v>
      </c>
      <c r="C13" s="59" t="s">
        <v>1</v>
      </c>
      <c r="D13" s="60" t="s">
        <v>12</v>
      </c>
      <c r="E13" s="44">
        <v>535349.69279999996</v>
      </c>
      <c r="F13" s="44">
        <v>629031.91960799997</v>
      </c>
      <c r="G13" s="44">
        <v>549722.16151200014</v>
      </c>
      <c r="H13" s="44">
        <v>526267.50569999998</v>
      </c>
      <c r="I13" s="44">
        <v>719016.5782799999</v>
      </c>
      <c r="J13" s="44">
        <v>990627.39098999999</v>
      </c>
      <c r="K13" s="61">
        <v>1049705.28</v>
      </c>
      <c r="L13" s="61">
        <v>1027829.934</v>
      </c>
      <c r="M13" s="61">
        <v>951076.4040000001</v>
      </c>
      <c r="N13" s="61">
        <v>836673.3</v>
      </c>
      <c r="O13" s="61">
        <v>939890.95199999993</v>
      </c>
      <c r="P13" s="62">
        <v>1153904.9400000002</v>
      </c>
      <c r="Q13" s="63">
        <f t="shared" si="0"/>
        <v>9909096.05889</v>
      </c>
    </row>
    <row r="14" spans="1:17" x14ac:dyDescent="0.4">
      <c r="B14" s="107" t="s">
        <v>41</v>
      </c>
      <c r="C14" s="54" t="s">
        <v>11</v>
      </c>
      <c r="D14" s="55" t="s">
        <v>12</v>
      </c>
      <c r="E14" s="18">
        <v>402420.02456666715</v>
      </c>
      <c r="F14" s="18">
        <v>619900.56911666703</v>
      </c>
      <c r="G14" s="18">
        <v>606259.80991666706</v>
      </c>
      <c r="H14" s="18">
        <v>328206.87101666717</v>
      </c>
      <c r="I14" s="18">
        <v>520786.60931666713</v>
      </c>
      <c r="J14" s="18">
        <v>708103.60031666688</v>
      </c>
      <c r="K14" s="56">
        <v>588464.1001166671</v>
      </c>
      <c r="L14" s="56">
        <v>587854.485116667</v>
      </c>
      <c r="M14" s="56">
        <v>624903.3451166671</v>
      </c>
      <c r="N14" s="56">
        <v>515998.57511666714</v>
      </c>
      <c r="O14" s="56">
        <v>570686.94011666707</v>
      </c>
      <c r="P14" s="57">
        <v>603114.52511666692</v>
      </c>
      <c r="Q14" s="58">
        <f t="shared" si="0"/>
        <v>6676699.4549500057</v>
      </c>
    </row>
    <row r="15" spans="1:17" x14ac:dyDescent="0.4">
      <c r="B15" s="107" t="s">
        <v>43</v>
      </c>
      <c r="C15" s="54" t="s">
        <v>11</v>
      </c>
      <c r="D15" s="55" t="s">
        <v>12</v>
      </c>
      <c r="E15" s="18">
        <v>558529.4846666666</v>
      </c>
      <c r="F15" s="18">
        <v>524219.23726666655</v>
      </c>
      <c r="G15" s="18">
        <v>705033.27666666661</v>
      </c>
      <c r="H15" s="18">
        <v>519858.19746666652</v>
      </c>
      <c r="I15" s="18">
        <v>570334.38416666666</v>
      </c>
      <c r="J15" s="18">
        <v>647260.84971666662</v>
      </c>
      <c r="K15" s="56">
        <v>641931.7666666666</v>
      </c>
      <c r="L15" s="56">
        <v>722282.95666666667</v>
      </c>
      <c r="M15" s="56">
        <v>805033.27666666661</v>
      </c>
      <c r="N15" s="56">
        <v>739037.53666666662</v>
      </c>
      <c r="O15" s="56">
        <v>733374.0166666666</v>
      </c>
      <c r="P15" s="57">
        <v>739804.47166666668</v>
      </c>
      <c r="Q15" s="58">
        <f t="shared" si="0"/>
        <v>7906699.4549499992</v>
      </c>
    </row>
    <row r="16" spans="1:17" x14ac:dyDescent="0.4">
      <c r="B16" s="108" t="s">
        <v>42</v>
      </c>
      <c r="C16" s="59" t="s">
        <v>11</v>
      </c>
      <c r="D16" s="60" t="s">
        <v>12</v>
      </c>
      <c r="E16" s="44">
        <v>623673.70666666655</v>
      </c>
      <c r="F16" s="44">
        <v>795687.95626666653</v>
      </c>
      <c r="G16" s="44">
        <v>707424.14586666669</v>
      </c>
      <c r="H16" s="44">
        <v>723615.33526666672</v>
      </c>
      <c r="I16" s="44">
        <v>812543.03466666664</v>
      </c>
      <c r="J16" s="44">
        <v>742230.85381666664</v>
      </c>
      <c r="K16" s="61">
        <v>1078345.0666666667</v>
      </c>
      <c r="L16" s="61">
        <v>1127807.3466666667</v>
      </c>
      <c r="M16" s="61">
        <v>1067780.6066666667</v>
      </c>
      <c r="N16" s="61">
        <v>998354.05666666676</v>
      </c>
      <c r="O16" s="61">
        <v>1020418.1866666666</v>
      </c>
      <c r="P16" s="62">
        <v>1028363.8816666667</v>
      </c>
      <c r="Q16" s="63">
        <f t="shared" si="0"/>
        <v>10726244.177549999</v>
      </c>
    </row>
    <row r="17" spans="2:18" x14ac:dyDescent="0.4">
      <c r="B17" s="106" t="s">
        <v>41</v>
      </c>
      <c r="C17" s="49" t="s">
        <v>1</v>
      </c>
      <c r="D17" s="50" t="s">
        <v>27</v>
      </c>
      <c r="E17" s="45">
        <f t="shared" ref="E17:P22" si="1">E5-E11</f>
        <v>513206.94638500013</v>
      </c>
      <c r="F17" s="45">
        <f t="shared" si="1"/>
        <v>402186.56519999995</v>
      </c>
      <c r="G17" s="45">
        <f t="shared" si="1"/>
        <v>58233.096640000003</v>
      </c>
      <c r="H17" s="45">
        <f t="shared" si="1"/>
        <v>354798.15386999998</v>
      </c>
      <c r="I17" s="45">
        <f t="shared" si="1"/>
        <v>500822.33705999999</v>
      </c>
      <c r="J17" s="45">
        <f t="shared" si="1"/>
        <v>369148.44335999992</v>
      </c>
      <c r="K17" s="64">
        <f t="shared" si="1"/>
        <v>177255.94000000006</v>
      </c>
      <c r="L17" s="64">
        <f t="shared" si="1"/>
        <v>66708.095999999903</v>
      </c>
      <c r="M17" s="64">
        <f t="shared" si="1"/>
        <v>166596.82000000007</v>
      </c>
      <c r="N17" s="64">
        <f t="shared" si="1"/>
        <v>198209.40000000002</v>
      </c>
      <c r="O17" s="64">
        <f t="shared" si="1"/>
        <v>179451.06000000006</v>
      </c>
      <c r="P17" s="65">
        <f t="shared" si="1"/>
        <v>201526.55199999991</v>
      </c>
      <c r="Q17" s="53">
        <f t="shared" si="0"/>
        <v>3188143.4105150001</v>
      </c>
      <c r="R17" s="66"/>
    </row>
    <row r="18" spans="2:18" x14ac:dyDescent="0.4">
      <c r="B18" s="107" t="s">
        <v>43</v>
      </c>
      <c r="C18" s="54" t="s">
        <v>1</v>
      </c>
      <c r="D18" s="55" t="s">
        <v>27</v>
      </c>
      <c r="E18" s="13">
        <f t="shared" si="1"/>
        <v>281492.02740000002</v>
      </c>
      <c r="F18" s="13">
        <f t="shared" si="1"/>
        <v>98521.200580000062</v>
      </c>
      <c r="G18" s="13">
        <f t="shared" si="1"/>
        <v>398669.37300000014</v>
      </c>
      <c r="H18" s="13">
        <f t="shared" si="1"/>
        <v>172665.92844000005</v>
      </c>
      <c r="I18" s="13">
        <f>I6-I12</f>
        <v>41296.597749999957</v>
      </c>
      <c r="J18" s="13">
        <f t="shared" si="1"/>
        <v>115891.07186499995</v>
      </c>
      <c r="K18" s="67">
        <f t="shared" si="1"/>
        <v>138577.11599999992</v>
      </c>
      <c r="L18" s="67">
        <f t="shared" si="1"/>
        <v>197811.59199999995</v>
      </c>
      <c r="M18" s="67">
        <f t="shared" si="1"/>
        <v>153324.73900000006</v>
      </c>
      <c r="N18" s="67">
        <f t="shared" si="1"/>
        <v>112270.03799999994</v>
      </c>
      <c r="O18" s="67">
        <f t="shared" si="1"/>
        <v>85971.193999999901</v>
      </c>
      <c r="P18" s="68">
        <f t="shared" si="1"/>
        <v>217318.02999999991</v>
      </c>
      <c r="Q18" s="58">
        <f t="shared" si="0"/>
        <v>2013808.9080349999</v>
      </c>
      <c r="R18" s="66"/>
    </row>
    <row r="19" spans="2:18" x14ac:dyDescent="0.4">
      <c r="B19" s="108" t="s">
        <v>42</v>
      </c>
      <c r="C19" s="59" t="s">
        <v>1</v>
      </c>
      <c r="D19" s="60" t="s">
        <v>27</v>
      </c>
      <c r="E19" s="46">
        <f t="shared" si="1"/>
        <v>385570.30720000004</v>
      </c>
      <c r="F19" s="46">
        <f t="shared" si="1"/>
        <v>682129.08039200003</v>
      </c>
      <c r="G19" s="46">
        <f t="shared" si="1"/>
        <v>475410.83848799986</v>
      </c>
      <c r="H19" s="46">
        <f t="shared" si="1"/>
        <v>828018.49430000002</v>
      </c>
      <c r="I19" s="46">
        <f t="shared" si="1"/>
        <v>173567.4217200001</v>
      </c>
      <c r="J19" s="46">
        <f t="shared" si="1"/>
        <v>7392.6090100000147</v>
      </c>
      <c r="K19" s="69">
        <f t="shared" si="1"/>
        <v>146294.71999999997</v>
      </c>
      <c r="L19" s="69">
        <f t="shared" si="1"/>
        <v>175070.06599999999</v>
      </c>
      <c r="M19" s="69">
        <f t="shared" si="1"/>
        <v>284023.5959999999</v>
      </c>
      <c r="N19" s="69">
        <f t="shared" si="1"/>
        <v>311026.69999999995</v>
      </c>
      <c r="O19" s="69">
        <f t="shared" si="1"/>
        <v>219309.04800000007</v>
      </c>
      <c r="P19" s="70">
        <f t="shared" si="1"/>
        <v>122595.05999999982</v>
      </c>
      <c r="Q19" s="63">
        <f t="shared" si="0"/>
        <v>3810407.9411099991</v>
      </c>
      <c r="R19" s="66"/>
    </row>
    <row r="20" spans="2:18" x14ac:dyDescent="0.4">
      <c r="B20" s="107" t="s">
        <v>41</v>
      </c>
      <c r="C20" s="54" t="s">
        <v>11</v>
      </c>
      <c r="D20" s="55" t="s">
        <v>27</v>
      </c>
      <c r="E20" s="13">
        <f t="shared" si="1"/>
        <v>376181.01543333288</v>
      </c>
      <c r="F20" s="13">
        <f t="shared" si="1"/>
        <v>176516.19888333289</v>
      </c>
      <c r="G20" s="13">
        <f t="shared" si="1"/>
        <v>91583.263083332917</v>
      </c>
      <c r="H20" s="13">
        <f t="shared" si="1"/>
        <v>303741.01398333284</v>
      </c>
      <c r="I20" s="13">
        <f t="shared" si="1"/>
        <v>250867.99068333284</v>
      </c>
      <c r="J20" s="13">
        <f t="shared" si="1"/>
        <v>63079.0396833329</v>
      </c>
      <c r="K20" s="67">
        <f t="shared" si="1"/>
        <v>106715.3998833329</v>
      </c>
      <c r="L20" s="67">
        <f t="shared" si="1"/>
        <v>116939.11488333298</v>
      </c>
      <c r="M20" s="67">
        <f t="shared" si="1"/>
        <v>165323.75488333299</v>
      </c>
      <c r="N20" s="67">
        <f t="shared" si="1"/>
        <v>227469.52488333295</v>
      </c>
      <c r="O20" s="67">
        <f t="shared" si="1"/>
        <v>72358.559883332928</v>
      </c>
      <c r="P20" s="68">
        <f t="shared" si="1"/>
        <v>73361.474883332965</v>
      </c>
      <c r="Q20" s="58">
        <f t="shared" si="0"/>
        <v>2024136.351049995</v>
      </c>
      <c r="R20" s="66"/>
    </row>
    <row r="21" spans="2:18" x14ac:dyDescent="0.4">
      <c r="B21" s="107" t="s">
        <v>43</v>
      </c>
      <c r="C21" s="54" t="s">
        <v>11</v>
      </c>
      <c r="D21" s="55" t="s">
        <v>27</v>
      </c>
      <c r="E21" s="13">
        <f t="shared" si="1"/>
        <v>193917.65433333337</v>
      </c>
      <c r="F21" s="13">
        <f t="shared" si="1"/>
        <v>108449.26073333347</v>
      </c>
      <c r="G21" s="13">
        <f t="shared" si="1"/>
        <v>258827.03333333344</v>
      </c>
      <c r="H21" s="13">
        <f t="shared" si="1"/>
        <v>60259.302533333481</v>
      </c>
      <c r="I21" s="13">
        <f t="shared" si="1"/>
        <v>96156.581833333359</v>
      </c>
      <c r="J21" s="13">
        <f t="shared" si="1"/>
        <v>63643.300283333403</v>
      </c>
      <c r="K21" s="67">
        <f t="shared" si="1"/>
        <v>133786.93333333335</v>
      </c>
      <c r="L21" s="67">
        <f t="shared" si="1"/>
        <v>78563.243333333288</v>
      </c>
      <c r="M21" s="67">
        <f t="shared" si="1"/>
        <v>87429.973333333386</v>
      </c>
      <c r="N21" s="67">
        <f t="shared" si="1"/>
        <v>34452.463333333377</v>
      </c>
      <c r="O21" s="67">
        <f t="shared" si="1"/>
        <v>64500.583333333372</v>
      </c>
      <c r="P21" s="68">
        <f t="shared" si="1"/>
        <v>97050.528333333321</v>
      </c>
      <c r="Q21" s="58">
        <f t="shared" si="0"/>
        <v>1277036.8580500009</v>
      </c>
      <c r="R21" s="66"/>
    </row>
    <row r="22" spans="2:18" x14ac:dyDescent="0.4">
      <c r="B22" s="108" t="s">
        <v>42</v>
      </c>
      <c r="C22" s="59" t="s">
        <v>11</v>
      </c>
      <c r="D22" s="60" t="s">
        <v>27</v>
      </c>
      <c r="E22" s="46">
        <f t="shared" si="1"/>
        <v>338687.69333333347</v>
      </c>
      <c r="F22" s="46">
        <f t="shared" si="1"/>
        <v>516784.20473333378</v>
      </c>
      <c r="G22" s="46">
        <f t="shared" si="1"/>
        <v>363839.83913333318</v>
      </c>
      <c r="H22" s="46">
        <f t="shared" si="1"/>
        <v>691613.53473333316</v>
      </c>
      <c r="I22" s="46">
        <f t="shared" si="1"/>
        <v>100570.3973333335</v>
      </c>
      <c r="J22" s="46">
        <f t="shared" si="1"/>
        <v>233918.39758333343</v>
      </c>
      <c r="K22" s="69">
        <f t="shared" si="1"/>
        <v>171474.93333333335</v>
      </c>
      <c r="L22" s="69">
        <f t="shared" si="1"/>
        <v>76295.553333333461</v>
      </c>
      <c r="M22" s="69">
        <f t="shared" si="1"/>
        <v>222898.89333333331</v>
      </c>
      <c r="N22" s="69">
        <f t="shared" si="1"/>
        <v>200992.44333333324</v>
      </c>
      <c r="O22" s="69">
        <f t="shared" si="1"/>
        <v>165443.41333333345</v>
      </c>
      <c r="P22" s="70">
        <f t="shared" si="1"/>
        <v>407149.72333333327</v>
      </c>
      <c r="Q22" s="63">
        <f t="shared" si="0"/>
        <v>3489669.026850001</v>
      </c>
    </row>
    <row r="23" spans="2:18" x14ac:dyDescent="0.4">
      <c r="B23" s="109" t="s">
        <v>13</v>
      </c>
      <c r="C23" s="71" t="s">
        <v>1</v>
      </c>
      <c r="D23" s="72" t="s">
        <v>0</v>
      </c>
      <c r="E23" s="36">
        <v>2569514</v>
      </c>
      <c r="F23" s="36">
        <v>2863983</v>
      </c>
      <c r="G23" s="36">
        <v>2481171</v>
      </c>
      <c r="H23" s="36">
        <v>2586626</v>
      </c>
      <c r="I23" s="36">
        <v>2479718</v>
      </c>
      <c r="J23" s="36">
        <v>2543045</v>
      </c>
      <c r="K23" s="73">
        <v>2780700</v>
      </c>
      <c r="L23" s="73">
        <v>2835900</v>
      </c>
      <c r="M23" s="73">
        <v>2907200</v>
      </c>
      <c r="N23" s="73">
        <v>2693300</v>
      </c>
      <c r="O23" s="73">
        <v>2734700</v>
      </c>
      <c r="P23" s="74">
        <v>2948600</v>
      </c>
      <c r="Q23" s="74">
        <v>32424457</v>
      </c>
      <c r="R23" s="66"/>
    </row>
    <row r="24" spans="2:18" x14ac:dyDescent="0.4">
      <c r="B24" s="109" t="s">
        <v>13</v>
      </c>
      <c r="C24" s="71" t="s">
        <v>1</v>
      </c>
      <c r="D24" s="72" t="s">
        <v>12</v>
      </c>
      <c r="E24" s="37">
        <v>1389244.7190149999</v>
      </c>
      <c r="F24" s="37">
        <v>1681146.153828</v>
      </c>
      <c r="G24" s="37">
        <v>1548857.6918720002</v>
      </c>
      <c r="H24" s="37">
        <v>1231143.4233900001</v>
      </c>
      <c r="I24" s="37">
        <v>1764031.64347</v>
      </c>
      <c r="J24" s="37">
        <v>2050612.8757649998</v>
      </c>
      <c r="K24" s="75">
        <v>2318572.2240000004</v>
      </c>
      <c r="L24" s="75">
        <v>2396310.2460000003</v>
      </c>
      <c r="M24" s="75">
        <v>2303254.8449999997</v>
      </c>
      <c r="N24" s="75">
        <v>2071793.862</v>
      </c>
      <c r="O24" s="75">
        <v>2249968.6979999999</v>
      </c>
      <c r="P24" s="76">
        <v>2407160.358</v>
      </c>
      <c r="Q24" s="76">
        <v>23412096.740340002</v>
      </c>
      <c r="R24" s="66"/>
    </row>
    <row r="25" spans="2:18" x14ac:dyDescent="0.4">
      <c r="B25" s="109" t="s">
        <v>13</v>
      </c>
      <c r="C25" s="71" t="s">
        <v>1</v>
      </c>
      <c r="D25" s="72" t="s">
        <v>27</v>
      </c>
      <c r="E25" s="37">
        <v>1180269.2809850001</v>
      </c>
      <c r="F25" s="37">
        <v>1182836.846172</v>
      </c>
      <c r="G25" s="37">
        <v>932313.308128</v>
      </c>
      <c r="H25" s="37">
        <v>1355482.5766099999</v>
      </c>
      <c r="I25" s="37">
        <v>715686.35653000011</v>
      </c>
      <c r="J25" s="37">
        <v>492432.12423499988</v>
      </c>
      <c r="K25" s="75">
        <v>462127.77599999995</v>
      </c>
      <c r="L25" s="75">
        <v>439589.75399999984</v>
      </c>
      <c r="M25" s="75">
        <v>603945.15500000003</v>
      </c>
      <c r="N25" s="75">
        <v>621506.13799999992</v>
      </c>
      <c r="O25" s="75">
        <v>484731.30200000003</v>
      </c>
      <c r="P25" s="76">
        <v>541439.64199999964</v>
      </c>
      <c r="Q25" s="76">
        <v>9012360.2596599981</v>
      </c>
      <c r="R25" s="66"/>
    </row>
    <row r="26" spans="2:18" x14ac:dyDescent="0.4">
      <c r="B26" s="109" t="s">
        <v>13</v>
      </c>
      <c r="C26" s="71" t="s">
        <v>11</v>
      </c>
      <c r="D26" s="72" t="s">
        <v>0</v>
      </c>
      <c r="E26" s="37">
        <v>2493409.5789999999</v>
      </c>
      <c r="F26" s="37">
        <v>2741557.4270000001</v>
      </c>
      <c r="G26" s="37">
        <v>2732967.3679999998</v>
      </c>
      <c r="H26" s="37">
        <v>2627294.2549999999</v>
      </c>
      <c r="I26" s="37">
        <v>2351258.9980000001</v>
      </c>
      <c r="J26" s="37">
        <v>2458236.0414</v>
      </c>
      <c r="K26" s="75">
        <v>2720718.2</v>
      </c>
      <c r="L26" s="75">
        <v>2709742.7</v>
      </c>
      <c r="M26" s="75">
        <v>2973369.85</v>
      </c>
      <c r="N26" s="75">
        <v>2716304.6</v>
      </c>
      <c r="O26" s="75">
        <v>2626781.7000000002</v>
      </c>
      <c r="P26" s="76">
        <v>2948844.605</v>
      </c>
      <c r="Q26" s="76">
        <v>32100485.323400006</v>
      </c>
      <c r="R26" s="66"/>
    </row>
    <row r="27" spans="2:18" x14ac:dyDescent="0.4">
      <c r="B27" s="109" t="s">
        <v>13</v>
      </c>
      <c r="C27" s="71" t="s">
        <v>11</v>
      </c>
      <c r="D27" s="72" t="s">
        <v>12</v>
      </c>
      <c r="E27" s="37">
        <v>1584623.2159000002</v>
      </c>
      <c r="F27" s="37">
        <v>1939807.7626500002</v>
      </c>
      <c r="G27" s="37">
        <v>2018717.2324500002</v>
      </c>
      <c r="H27" s="37">
        <v>1571680.4037500005</v>
      </c>
      <c r="I27" s="37">
        <v>1903664.0281500006</v>
      </c>
      <c r="J27" s="37">
        <v>2097595.3038500003</v>
      </c>
      <c r="K27" s="75">
        <v>2308740.9334500004</v>
      </c>
      <c r="L27" s="75">
        <v>2437944.7884500003</v>
      </c>
      <c r="M27" s="75">
        <v>2497717.2284500003</v>
      </c>
      <c r="N27" s="75">
        <v>2253390.1684500007</v>
      </c>
      <c r="O27" s="75">
        <v>2324479.1434500003</v>
      </c>
      <c r="P27" s="76">
        <v>2371282.8784500002</v>
      </c>
      <c r="Q27" s="76">
        <v>25309643.087450005</v>
      </c>
      <c r="R27" s="66"/>
    </row>
    <row r="28" spans="2:18" x14ac:dyDescent="0.4">
      <c r="B28" s="110" t="s">
        <v>13</v>
      </c>
      <c r="C28" s="77" t="s">
        <v>11</v>
      </c>
      <c r="D28" s="78" t="s">
        <v>27</v>
      </c>
      <c r="E28" s="38">
        <v>908786.36309999973</v>
      </c>
      <c r="F28" s="38">
        <v>801749.66435000021</v>
      </c>
      <c r="G28" s="38">
        <v>714250.13554999954</v>
      </c>
      <c r="H28" s="38">
        <v>1055613.8512499994</v>
      </c>
      <c r="I28" s="38">
        <v>447594.9698499997</v>
      </c>
      <c r="J28" s="38">
        <v>360640.73754999973</v>
      </c>
      <c r="K28" s="79">
        <v>411977.26654999959</v>
      </c>
      <c r="L28" s="79">
        <v>271797.91154999973</v>
      </c>
      <c r="M28" s="79">
        <v>475652.62154999969</v>
      </c>
      <c r="N28" s="79">
        <v>462914.43154999957</v>
      </c>
      <c r="O28" s="79">
        <v>302302.55654999975</v>
      </c>
      <c r="P28" s="80">
        <v>577561.72654999956</v>
      </c>
      <c r="Q28" s="80">
        <v>6790842.2359499969</v>
      </c>
    </row>
    <row r="29" spans="2:18" s="81" customFormat="1" x14ac:dyDescent="0.4">
      <c r="B29" s="14"/>
      <c r="C29" s="11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2"/>
    </row>
    <row r="30" spans="2:18" s="83" customFormat="1" x14ac:dyDescent="0.4">
      <c r="B30" s="39"/>
      <c r="C30" s="112"/>
      <c r="E30" s="42"/>
      <c r="F30" s="40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2:18" x14ac:dyDescent="0.4">
      <c r="B31" s="84"/>
      <c r="C31" s="1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2:18" x14ac:dyDescent="0.4">
      <c r="E32" s="85"/>
      <c r="F32" s="85"/>
      <c r="G32" s="85"/>
    </row>
    <row r="33" spans="1:10" x14ac:dyDescent="0.4">
      <c r="A33" s="34" t="s">
        <v>46</v>
      </c>
      <c r="B33" s="20" t="s">
        <v>40</v>
      </c>
      <c r="C33" s="81"/>
      <c r="G33" s="81"/>
      <c r="H33" s="81"/>
      <c r="I33" s="81"/>
      <c r="J33" s="81"/>
    </row>
    <row r="34" spans="1:10" x14ac:dyDescent="0.4">
      <c r="A34" s="34"/>
      <c r="B34" s="20"/>
      <c r="C34" s="81"/>
      <c r="G34" s="81"/>
      <c r="H34" s="81"/>
      <c r="I34" s="81"/>
      <c r="J34" s="81"/>
    </row>
    <row r="35" spans="1:10" x14ac:dyDescent="0.4">
      <c r="D35" s="152" t="s">
        <v>12</v>
      </c>
      <c r="E35" s="152"/>
      <c r="G35" s="81"/>
      <c r="H35" s="81"/>
      <c r="I35" s="81"/>
      <c r="J35" s="81"/>
    </row>
    <row r="36" spans="1:10" x14ac:dyDescent="0.4">
      <c r="B36" s="27" t="s">
        <v>52</v>
      </c>
      <c r="C36" s="155" t="s">
        <v>14</v>
      </c>
      <c r="D36" s="153" t="s">
        <v>1</v>
      </c>
      <c r="E36" s="154" t="s">
        <v>11</v>
      </c>
      <c r="G36" s="33"/>
      <c r="H36" s="33"/>
      <c r="I36" s="35"/>
      <c r="J36" s="35"/>
    </row>
    <row r="37" spans="1:10" x14ac:dyDescent="0.4">
      <c r="B37" s="86" t="s">
        <v>42</v>
      </c>
      <c r="C37" s="87" t="s">
        <v>10</v>
      </c>
      <c r="D37" s="88">
        <v>2446426.6138111856</v>
      </c>
      <c r="E37" s="89">
        <v>2820990.7024551262</v>
      </c>
      <c r="G37" s="33"/>
      <c r="H37" s="33"/>
      <c r="I37" s="90"/>
      <c r="J37" s="90"/>
    </row>
    <row r="38" spans="1:10" x14ac:dyDescent="0.4">
      <c r="B38" s="86" t="s">
        <v>42</v>
      </c>
      <c r="C38" s="87" t="s">
        <v>9</v>
      </c>
      <c r="D38" s="88">
        <v>916594.50464125758</v>
      </c>
      <c r="E38" s="89">
        <v>956931.18318652001</v>
      </c>
      <c r="G38" s="33"/>
      <c r="H38" s="33"/>
      <c r="I38" s="90"/>
      <c r="J38" s="90"/>
    </row>
    <row r="39" spans="1:10" x14ac:dyDescent="0.4">
      <c r="B39" s="86" t="s">
        <v>42</v>
      </c>
      <c r="C39" s="87" t="s">
        <v>8</v>
      </c>
      <c r="D39" s="88">
        <v>1065373.123684647</v>
      </c>
      <c r="E39" s="89">
        <v>1128488.79242609</v>
      </c>
      <c r="G39" s="33"/>
      <c r="H39" s="33"/>
      <c r="I39" s="90"/>
      <c r="J39" s="90"/>
    </row>
    <row r="40" spans="1:10" x14ac:dyDescent="0.4">
      <c r="B40" s="86" t="s">
        <v>42</v>
      </c>
      <c r="C40" s="87" t="s">
        <v>7</v>
      </c>
      <c r="D40" s="88">
        <v>639332.82174265652</v>
      </c>
      <c r="E40" s="89">
        <v>637218.90357494005</v>
      </c>
      <c r="G40" s="33"/>
      <c r="H40" s="33"/>
      <c r="I40" s="90"/>
      <c r="J40" s="90"/>
    </row>
    <row r="41" spans="1:10" x14ac:dyDescent="0.4">
      <c r="B41" s="86" t="s">
        <v>42</v>
      </c>
      <c r="C41" s="87" t="s">
        <v>6</v>
      </c>
      <c r="D41" s="88">
        <v>1024617.2872496283</v>
      </c>
      <c r="E41" s="89">
        <v>1081492.9679836601</v>
      </c>
      <c r="G41" s="33"/>
      <c r="H41" s="33"/>
      <c r="I41" s="90"/>
      <c r="J41" s="90"/>
    </row>
    <row r="42" spans="1:10" x14ac:dyDescent="0.4">
      <c r="B42" s="86" t="s">
        <v>42</v>
      </c>
      <c r="C42" s="87" t="s">
        <v>5</v>
      </c>
      <c r="D42" s="88">
        <v>890825.47764244641</v>
      </c>
      <c r="E42" s="89">
        <v>1127216.7477873301</v>
      </c>
      <c r="G42" s="33"/>
      <c r="H42" s="33"/>
      <c r="I42" s="90"/>
      <c r="J42" s="90"/>
    </row>
    <row r="43" spans="1:10" x14ac:dyDescent="0.4">
      <c r="B43" s="86" t="s">
        <v>42</v>
      </c>
      <c r="C43" s="87" t="s">
        <v>4</v>
      </c>
      <c r="D43" s="88">
        <v>1001403.960586712</v>
      </c>
      <c r="E43" s="89">
        <v>954725.52753830003</v>
      </c>
      <c r="G43" s="33"/>
      <c r="H43" s="33"/>
      <c r="I43" s="90"/>
      <c r="J43" s="90"/>
    </row>
    <row r="44" spans="1:10" x14ac:dyDescent="0.4">
      <c r="B44" s="86" t="s">
        <v>42</v>
      </c>
      <c r="C44" s="87" t="s">
        <v>3</v>
      </c>
      <c r="D44" s="88">
        <v>1117201.4869737749</v>
      </c>
      <c r="E44" s="89">
        <v>1188252.4207878399</v>
      </c>
      <c r="G44" s="33"/>
      <c r="H44" s="33"/>
      <c r="I44" s="90"/>
      <c r="J44" s="90"/>
    </row>
    <row r="45" spans="1:10" x14ac:dyDescent="0.4">
      <c r="B45" s="91" t="s">
        <v>42</v>
      </c>
      <c r="C45" s="92" t="s">
        <v>2</v>
      </c>
      <c r="D45" s="93">
        <v>807320.78255769133</v>
      </c>
      <c r="E45" s="94">
        <v>830926.93181019195</v>
      </c>
      <c r="G45" s="33"/>
      <c r="H45" s="33"/>
      <c r="I45" s="90"/>
      <c r="J45" s="90"/>
    </row>
    <row r="46" spans="1:10" x14ac:dyDescent="0.4">
      <c r="B46" s="86" t="s">
        <v>43</v>
      </c>
      <c r="C46" s="87" t="s">
        <v>10</v>
      </c>
      <c r="D46" s="88">
        <v>1848872.1739837017</v>
      </c>
      <c r="E46" s="89">
        <v>1965837.993149074</v>
      </c>
      <c r="G46" s="81"/>
      <c r="H46" s="81"/>
      <c r="I46" s="81"/>
      <c r="J46" s="81"/>
    </row>
    <row r="47" spans="1:10" x14ac:dyDescent="0.4">
      <c r="B47" s="86" t="s">
        <v>43</v>
      </c>
      <c r="C47" s="87" t="s">
        <v>9</v>
      </c>
      <c r="D47" s="88">
        <v>668059.14553277765</v>
      </c>
      <c r="E47" s="89">
        <v>610322.79485786497</v>
      </c>
      <c r="G47" s="81"/>
      <c r="H47" s="81"/>
      <c r="I47" s="95"/>
      <c r="J47" s="95"/>
    </row>
    <row r="48" spans="1:10" x14ac:dyDescent="0.4">
      <c r="B48" s="86" t="s">
        <v>43</v>
      </c>
      <c r="C48" s="87" t="s">
        <v>8</v>
      </c>
      <c r="D48" s="88">
        <v>813996.78913255781</v>
      </c>
      <c r="E48" s="89">
        <v>765492.94045043201</v>
      </c>
      <c r="G48" s="81"/>
      <c r="H48" s="81"/>
      <c r="I48" s="81"/>
      <c r="J48" s="81"/>
    </row>
    <row r="49" spans="2:10" x14ac:dyDescent="0.4">
      <c r="B49" s="86" t="s">
        <v>43</v>
      </c>
      <c r="C49" s="87" t="s">
        <v>7</v>
      </c>
      <c r="D49" s="88">
        <v>483171.92813440744</v>
      </c>
      <c r="E49" s="89">
        <v>543738.99554295803</v>
      </c>
      <c r="G49" s="81"/>
      <c r="H49" s="81"/>
      <c r="I49" s="81"/>
      <c r="J49" s="81"/>
    </row>
    <row r="50" spans="2:10" x14ac:dyDescent="0.4">
      <c r="B50" s="86" t="s">
        <v>43</v>
      </c>
      <c r="C50" s="87" t="s">
        <v>6</v>
      </c>
      <c r="D50" s="88">
        <v>765839.42556199629</v>
      </c>
      <c r="E50" s="89">
        <v>714288.98146990302</v>
      </c>
      <c r="G50" s="81"/>
      <c r="H50" s="81"/>
      <c r="I50" s="81"/>
      <c r="J50" s="81"/>
    </row>
    <row r="51" spans="2:10" x14ac:dyDescent="0.4">
      <c r="B51" s="86" t="s">
        <v>43</v>
      </c>
      <c r="C51" s="87" t="s">
        <v>5</v>
      </c>
      <c r="D51" s="88">
        <v>665837.78995377885</v>
      </c>
      <c r="E51" s="89">
        <v>807960.90891737898</v>
      </c>
      <c r="G51" s="81"/>
      <c r="H51" s="81"/>
      <c r="I51" s="81"/>
      <c r="J51" s="81"/>
    </row>
    <row r="52" spans="2:10" x14ac:dyDescent="0.4">
      <c r="B52" s="86" t="s">
        <v>43</v>
      </c>
      <c r="C52" s="87" t="s">
        <v>4</v>
      </c>
      <c r="D52" s="88">
        <v>781754.62559445668</v>
      </c>
      <c r="E52" s="89">
        <v>861211.03012887901</v>
      </c>
      <c r="G52" s="81"/>
      <c r="H52" s="81"/>
      <c r="I52" s="81"/>
      <c r="J52" s="81"/>
    </row>
    <row r="53" spans="2:10" x14ac:dyDescent="0.4">
      <c r="B53" s="86" t="s">
        <v>43</v>
      </c>
      <c r="C53" s="87" t="s">
        <v>3</v>
      </c>
      <c r="D53" s="88">
        <v>844318.29278589052</v>
      </c>
      <c r="E53" s="89">
        <v>867732.68353807705</v>
      </c>
      <c r="G53" s="81"/>
      <c r="H53" s="81"/>
      <c r="I53" s="81"/>
      <c r="J53" s="81"/>
    </row>
    <row r="54" spans="2:10" x14ac:dyDescent="0.4">
      <c r="B54" s="91" t="s">
        <v>43</v>
      </c>
      <c r="C54" s="92" t="s">
        <v>2</v>
      </c>
      <c r="D54" s="93">
        <v>630241.92128543323</v>
      </c>
      <c r="E54" s="94">
        <v>770113.12689543201</v>
      </c>
      <c r="G54" s="81"/>
      <c r="H54" s="81"/>
      <c r="I54" s="81"/>
      <c r="J54" s="81"/>
    </row>
    <row r="55" spans="2:10" x14ac:dyDescent="0.4">
      <c r="B55" s="86" t="s">
        <v>41</v>
      </c>
      <c r="C55" s="87" t="s">
        <v>10</v>
      </c>
      <c r="D55" s="88">
        <v>1407144.0682680598</v>
      </c>
      <c r="E55" s="89">
        <v>1670444.3093930299</v>
      </c>
      <c r="G55" s="81"/>
      <c r="H55" s="81"/>
      <c r="I55" s="81"/>
      <c r="J55" s="81"/>
    </row>
    <row r="56" spans="2:10" x14ac:dyDescent="0.4">
      <c r="B56" s="86" t="s">
        <v>41</v>
      </c>
      <c r="C56" s="87" t="s">
        <v>9</v>
      </c>
      <c r="D56" s="88">
        <v>503039.03478808375</v>
      </c>
      <c r="E56" s="89">
        <v>568663.94226428994</v>
      </c>
      <c r="G56" s="81"/>
      <c r="H56" s="81"/>
      <c r="I56" s="81"/>
      <c r="J56" s="81"/>
    </row>
    <row r="57" spans="2:10" x14ac:dyDescent="0.4">
      <c r="B57" s="86" t="s">
        <v>41</v>
      </c>
      <c r="C57" s="87" t="s">
        <v>8</v>
      </c>
      <c r="D57" s="88">
        <v>599746.75733520999</v>
      </c>
      <c r="E57" s="89">
        <v>697212.54890076001</v>
      </c>
    </row>
    <row r="58" spans="2:10" x14ac:dyDescent="0.4">
      <c r="B58" s="86" t="s">
        <v>41</v>
      </c>
      <c r="C58" s="87" t="s">
        <v>7</v>
      </c>
      <c r="D58" s="88">
        <v>363821.58973603108</v>
      </c>
      <c r="E58" s="89">
        <v>383609.34569668199</v>
      </c>
    </row>
    <row r="59" spans="2:10" x14ac:dyDescent="0.4">
      <c r="B59" s="86" t="s">
        <v>41</v>
      </c>
      <c r="C59" s="87" t="s">
        <v>6</v>
      </c>
      <c r="D59" s="88">
        <v>576803.32320082514</v>
      </c>
      <c r="E59" s="89">
        <v>666715.02076391899</v>
      </c>
    </row>
    <row r="60" spans="2:10" x14ac:dyDescent="0.4">
      <c r="B60" s="86" t="s">
        <v>41</v>
      </c>
      <c r="C60" s="87" t="s">
        <v>5</v>
      </c>
      <c r="D60" s="88">
        <v>590381.76447235362</v>
      </c>
      <c r="E60" s="89">
        <v>484764.145071437</v>
      </c>
    </row>
    <row r="61" spans="2:10" x14ac:dyDescent="0.4">
      <c r="B61" s="86" t="s">
        <v>41</v>
      </c>
      <c r="C61" s="87" t="s">
        <v>4</v>
      </c>
      <c r="D61" s="88">
        <v>781713.43877614976</v>
      </c>
      <c r="E61" s="89">
        <v>839091.50889897998</v>
      </c>
    </row>
    <row r="62" spans="2:10" x14ac:dyDescent="0.4">
      <c r="B62" s="86" t="s">
        <v>41</v>
      </c>
      <c r="C62" s="87" t="s">
        <v>3</v>
      </c>
      <c r="D62" s="88">
        <v>728720.99194988445</v>
      </c>
      <c r="E62" s="89">
        <v>868651.37214098498</v>
      </c>
    </row>
    <row r="63" spans="2:10" x14ac:dyDescent="0.4">
      <c r="B63" s="91" t="s">
        <v>41</v>
      </c>
      <c r="C63" s="92" t="s">
        <v>2</v>
      </c>
      <c r="D63" s="93">
        <v>449537.62095840246</v>
      </c>
      <c r="E63" s="94">
        <v>497547.26181992103</v>
      </c>
    </row>
    <row r="64" spans="2:10" x14ac:dyDescent="0.4">
      <c r="B64" s="96" t="s">
        <v>13</v>
      </c>
      <c r="C64" s="97" t="s">
        <v>10</v>
      </c>
      <c r="D64" s="98">
        <v>5702442.8560629468</v>
      </c>
      <c r="E64" s="99">
        <v>6457273.0049972301</v>
      </c>
    </row>
    <row r="65" spans="2:5" x14ac:dyDescent="0.4">
      <c r="B65" s="96" t="s">
        <v>13</v>
      </c>
      <c r="C65" s="97" t="s">
        <v>9</v>
      </c>
      <c r="D65" s="98">
        <v>2087692.684962119</v>
      </c>
      <c r="E65" s="99">
        <v>2135917.9203086752</v>
      </c>
    </row>
    <row r="66" spans="2:5" x14ac:dyDescent="0.4">
      <c r="B66" s="96" t="s">
        <v>13</v>
      </c>
      <c r="C66" s="97" t="s">
        <v>8</v>
      </c>
      <c r="D66" s="98">
        <v>2479116.6701524146</v>
      </c>
      <c r="E66" s="99">
        <v>2591194.2817772822</v>
      </c>
    </row>
    <row r="67" spans="2:5" x14ac:dyDescent="0.4">
      <c r="B67" s="96" t="s">
        <v>13</v>
      </c>
      <c r="C67" s="97" t="s">
        <v>7</v>
      </c>
      <c r="D67" s="98">
        <v>1486326.3396130952</v>
      </c>
      <c r="E67" s="99">
        <v>1564567.2448145803</v>
      </c>
    </row>
    <row r="68" spans="2:5" x14ac:dyDescent="0.4">
      <c r="B68" s="96" t="s">
        <v>13</v>
      </c>
      <c r="C68" s="97" t="s">
        <v>6</v>
      </c>
      <c r="D68" s="98">
        <v>2367260.0360124498</v>
      </c>
      <c r="E68" s="99">
        <v>2462496.9702174822</v>
      </c>
    </row>
    <row r="69" spans="2:5" x14ac:dyDescent="0.4">
      <c r="B69" s="96" t="s">
        <v>13</v>
      </c>
      <c r="C69" s="97" t="s">
        <v>5</v>
      </c>
      <c r="D69" s="98">
        <v>2147045.032068579</v>
      </c>
      <c r="E69" s="99">
        <v>2419941.8017761461</v>
      </c>
    </row>
    <row r="70" spans="2:5" x14ac:dyDescent="0.4">
      <c r="B70" s="96" t="s">
        <v>13</v>
      </c>
      <c r="C70" s="97" t="s">
        <v>4</v>
      </c>
      <c r="D70" s="98">
        <v>2564872.0249573183</v>
      </c>
      <c r="E70" s="99">
        <v>2655028.066566159</v>
      </c>
    </row>
    <row r="71" spans="2:5" x14ac:dyDescent="0.4">
      <c r="B71" s="96" t="s">
        <v>13</v>
      </c>
      <c r="C71" s="97" t="s">
        <v>3</v>
      </c>
      <c r="D71" s="98">
        <v>2690240.7717095502</v>
      </c>
      <c r="E71" s="99">
        <v>2924636.4764669021</v>
      </c>
    </row>
    <row r="72" spans="2:5" x14ac:dyDescent="0.4">
      <c r="B72" s="100" t="s">
        <v>13</v>
      </c>
      <c r="C72" s="101" t="s">
        <v>2</v>
      </c>
      <c r="D72" s="102">
        <v>1887100.3248015272</v>
      </c>
      <c r="E72" s="103">
        <v>2098587.3205255452</v>
      </c>
    </row>
    <row r="75" spans="2:5" s="83" customFormat="1" x14ac:dyDescent="0.4">
      <c r="B75" s="9"/>
      <c r="D75" s="104">
        <f>SUM(D37:D63)-SUM(D64:D72)</f>
        <v>0</v>
      </c>
      <c r="E75" s="104">
        <f>SUM(E37:E63)-SUM(E64:E72)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00B0F0"/>
  </sheetPr>
  <dimension ref="A2:T123"/>
  <sheetViews>
    <sheetView showGridLines="0" topLeftCell="A25" zoomScale="85" zoomScaleNormal="85" workbookViewId="0">
      <selection activeCell="K38" sqref="K38"/>
    </sheetView>
  </sheetViews>
  <sheetFormatPr defaultRowHeight="14.6" x14ac:dyDescent="0.4"/>
  <cols>
    <col min="1" max="1" width="11.84375" bestFit="1" customWidth="1"/>
    <col min="2" max="2" width="11.4609375" bestFit="1" customWidth="1"/>
    <col min="3" max="3" width="26" bestFit="1" customWidth="1"/>
    <col min="4" max="4" width="16" customWidth="1"/>
    <col min="5" max="5" width="13" customWidth="1"/>
    <col min="6" max="7" width="14" bestFit="1" customWidth="1"/>
    <col min="8" max="8" width="19.15234375" customWidth="1"/>
    <col min="9" max="9" width="13.69140625" customWidth="1"/>
    <col min="10" max="10" width="15" bestFit="1" customWidth="1"/>
    <col min="11" max="16" width="14" bestFit="1" customWidth="1"/>
    <col min="17" max="17" width="15.23046875" bestFit="1" customWidth="1"/>
    <col min="19" max="20" width="16.15234375" bestFit="1" customWidth="1"/>
  </cols>
  <sheetData>
    <row r="2" spans="2:18" x14ac:dyDescent="0.4">
      <c r="B2" s="32" t="s">
        <v>52</v>
      </c>
      <c r="C2" s="7" t="s">
        <v>28</v>
      </c>
      <c r="D2" s="105" t="s">
        <v>14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4" t="s">
        <v>20</v>
      </c>
      <c r="Q2" s="5" t="s">
        <v>13</v>
      </c>
    </row>
    <row r="3" spans="2:18" x14ac:dyDescent="0.4">
      <c r="B3" s="106" t="s">
        <v>41</v>
      </c>
      <c r="C3" s="49" t="s">
        <v>1</v>
      </c>
      <c r="D3" s="50" t="s">
        <v>0</v>
      </c>
      <c r="E3" s="43">
        <v>832048.00000000012</v>
      </c>
      <c r="F3" s="43">
        <v>873263.99999999988</v>
      </c>
      <c r="G3" s="43">
        <v>489762</v>
      </c>
      <c r="H3" s="43">
        <v>621690</v>
      </c>
      <c r="I3" s="43">
        <v>902520</v>
      </c>
      <c r="J3" s="43">
        <v>901967.99999999977</v>
      </c>
      <c r="K3" s="51">
        <v>742900</v>
      </c>
      <c r="L3" s="51">
        <v>772800</v>
      </c>
      <c r="M3" s="51">
        <v>777400</v>
      </c>
      <c r="N3" s="51">
        <v>731400</v>
      </c>
      <c r="O3" s="51">
        <v>752100</v>
      </c>
      <c r="P3" s="52">
        <v>791199.99999999988</v>
      </c>
      <c r="Q3" s="53">
        <f t="shared" ref="Q3:Q20" si="0">SUM(E3:P3)</f>
        <v>9189052</v>
      </c>
    </row>
    <row r="4" spans="2:18" x14ac:dyDescent="0.4">
      <c r="B4" s="107" t="s">
        <v>43</v>
      </c>
      <c r="C4" s="54" t="s">
        <v>1</v>
      </c>
      <c r="D4" s="55" t="s">
        <v>0</v>
      </c>
      <c r="E4" s="18">
        <v>816546</v>
      </c>
      <c r="F4" s="18">
        <v>679558</v>
      </c>
      <c r="G4" s="18">
        <v>966276.00000000012</v>
      </c>
      <c r="H4" s="18">
        <v>610650</v>
      </c>
      <c r="I4" s="18">
        <v>684614</v>
      </c>
      <c r="J4" s="18">
        <v>643057</v>
      </c>
      <c r="K4" s="56">
        <v>841800</v>
      </c>
      <c r="L4" s="56">
        <v>860200</v>
      </c>
      <c r="M4" s="56">
        <v>894700</v>
      </c>
      <c r="N4" s="56">
        <v>814200</v>
      </c>
      <c r="O4" s="56">
        <v>823400</v>
      </c>
      <c r="P4" s="57">
        <v>880900</v>
      </c>
      <c r="Q4" s="58">
        <f t="shared" si="0"/>
        <v>9515901</v>
      </c>
    </row>
    <row r="5" spans="2:18" x14ac:dyDescent="0.4">
      <c r="B5" s="107" t="s">
        <v>42</v>
      </c>
      <c r="C5" s="54" t="s">
        <v>1</v>
      </c>
      <c r="D5" s="55" t="s">
        <v>0</v>
      </c>
      <c r="E5" s="18">
        <v>920920</v>
      </c>
      <c r="F5" s="18">
        <v>1311161</v>
      </c>
      <c r="G5" s="18">
        <v>1025133</v>
      </c>
      <c r="H5" s="18">
        <v>1354286</v>
      </c>
      <c r="I5" s="18">
        <v>892584</v>
      </c>
      <c r="J5" s="18">
        <v>998020</v>
      </c>
      <c r="K5" s="56">
        <v>1196000</v>
      </c>
      <c r="L5" s="56">
        <v>1202900</v>
      </c>
      <c r="M5" s="56">
        <v>1235100</v>
      </c>
      <c r="N5" s="56">
        <v>1147700</v>
      </c>
      <c r="O5" s="56">
        <v>1159200</v>
      </c>
      <c r="P5" s="57">
        <v>1276500</v>
      </c>
      <c r="Q5" s="58">
        <f t="shared" si="0"/>
        <v>13719504</v>
      </c>
    </row>
    <row r="6" spans="2:18" x14ac:dyDescent="0.4">
      <c r="B6" s="106" t="s">
        <v>41</v>
      </c>
      <c r="C6" s="49" t="s">
        <v>11</v>
      </c>
      <c r="D6" s="50" t="s">
        <v>0</v>
      </c>
      <c r="E6" s="43">
        <v>778601.04</v>
      </c>
      <c r="F6" s="43">
        <v>796416.76799999992</v>
      </c>
      <c r="G6" s="43">
        <v>697843.07299999997</v>
      </c>
      <c r="H6" s="43">
        <v>631947.88500000001</v>
      </c>
      <c r="I6" s="43">
        <v>771654.6</v>
      </c>
      <c r="J6" s="43">
        <v>771182.63999999978</v>
      </c>
      <c r="K6" s="51">
        <v>695179.5</v>
      </c>
      <c r="L6" s="51">
        <v>704793.59999999998</v>
      </c>
      <c r="M6" s="51">
        <v>790227.10000000009</v>
      </c>
      <c r="N6" s="51">
        <v>743468.10000000009</v>
      </c>
      <c r="O6" s="51">
        <v>643045.5</v>
      </c>
      <c r="P6" s="52">
        <v>676475.99999999988</v>
      </c>
      <c r="Q6" s="53">
        <f t="shared" si="0"/>
        <v>8700835.8059999999</v>
      </c>
    </row>
    <row r="7" spans="2:18" x14ac:dyDescent="0.4">
      <c r="B7" s="107" t="s">
        <v>43</v>
      </c>
      <c r="C7" s="54" t="s">
        <v>11</v>
      </c>
      <c r="D7" s="55" t="s">
        <v>0</v>
      </c>
      <c r="E7" s="18">
        <v>752447.13899999997</v>
      </c>
      <c r="F7" s="18">
        <v>632668.49800000002</v>
      </c>
      <c r="G7" s="18">
        <v>963860.31</v>
      </c>
      <c r="H7" s="18">
        <v>580117.5</v>
      </c>
      <c r="I7" s="18">
        <v>666490.96600000001</v>
      </c>
      <c r="J7" s="18">
        <v>710904.15</v>
      </c>
      <c r="K7" s="56">
        <v>775718.7</v>
      </c>
      <c r="L7" s="56">
        <v>800846.2</v>
      </c>
      <c r="M7" s="56">
        <v>892463.25</v>
      </c>
      <c r="N7" s="56">
        <v>773490</v>
      </c>
      <c r="O7" s="56">
        <v>797874.6</v>
      </c>
      <c r="P7" s="57">
        <v>836855</v>
      </c>
      <c r="Q7" s="58">
        <f t="shared" si="0"/>
        <v>9183736.313000001</v>
      </c>
    </row>
    <row r="8" spans="2:18" x14ac:dyDescent="0.4">
      <c r="B8" s="108" t="s">
        <v>42</v>
      </c>
      <c r="C8" s="59" t="s">
        <v>11</v>
      </c>
      <c r="D8" s="60" t="s">
        <v>0</v>
      </c>
      <c r="E8" s="44">
        <v>962361.4</v>
      </c>
      <c r="F8" s="44">
        <v>1312472.1610000003</v>
      </c>
      <c r="G8" s="44">
        <v>1071263.9849999999</v>
      </c>
      <c r="H8" s="44">
        <v>1415228.8699999999</v>
      </c>
      <c r="I8" s="44">
        <v>913113.43200000015</v>
      </c>
      <c r="J8" s="44">
        <v>976149.25140000007</v>
      </c>
      <c r="K8" s="61">
        <v>1249820</v>
      </c>
      <c r="L8" s="61">
        <v>1204102.9000000001</v>
      </c>
      <c r="M8" s="61">
        <v>1290679.5</v>
      </c>
      <c r="N8" s="61">
        <v>1199346.5</v>
      </c>
      <c r="O8" s="61">
        <v>1185861.6000000001</v>
      </c>
      <c r="P8" s="62">
        <v>1435513.605</v>
      </c>
      <c r="Q8" s="63">
        <f t="shared" si="0"/>
        <v>14215913.204400001</v>
      </c>
    </row>
    <row r="9" spans="2:18" x14ac:dyDescent="0.4">
      <c r="B9" s="107" t="s">
        <v>41</v>
      </c>
      <c r="C9" s="54" t="s">
        <v>1</v>
      </c>
      <c r="D9" s="55" t="s">
        <v>12</v>
      </c>
      <c r="E9" s="18">
        <v>318841.05361499998</v>
      </c>
      <c r="F9" s="18">
        <v>471077.43479999993</v>
      </c>
      <c r="G9" s="18">
        <v>431528.90336</v>
      </c>
      <c r="H9" s="18">
        <v>266891.84613000002</v>
      </c>
      <c r="I9" s="18">
        <v>401697.66294000001</v>
      </c>
      <c r="J9" s="18">
        <v>532819.55663999985</v>
      </c>
      <c r="K9" s="56">
        <v>565644.05999999994</v>
      </c>
      <c r="L9" s="56">
        <v>706091.9040000001</v>
      </c>
      <c r="M9" s="56">
        <v>610803.17999999993</v>
      </c>
      <c r="N9" s="56">
        <v>533190.6</v>
      </c>
      <c r="O9" s="56">
        <v>572648.93999999994</v>
      </c>
      <c r="P9" s="57">
        <v>589673.44799999997</v>
      </c>
      <c r="Q9" s="58">
        <f t="shared" si="0"/>
        <v>6000908.5894849999</v>
      </c>
    </row>
    <row r="10" spans="2:18" x14ac:dyDescent="0.4">
      <c r="B10" s="107" t="s">
        <v>43</v>
      </c>
      <c r="C10" s="54" t="s">
        <v>1</v>
      </c>
      <c r="D10" s="55" t="s">
        <v>12</v>
      </c>
      <c r="E10" s="18">
        <v>535053.97259999998</v>
      </c>
      <c r="F10" s="18">
        <v>581036.79941999994</v>
      </c>
      <c r="G10" s="18">
        <v>567606.62699999998</v>
      </c>
      <c r="H10" s="18">
        <v>437984.07155999995</v>
      </c>
      <c r="I10" s="18">
        <v>643317.40225000004</v>
      </c>
      <c r="J10" s="18">
        <v>527165.92813500005</v>
      </c>
      <c r="K10" s="56">
        <v>703222.88400000008</v>
      </c>
      <c r="L10" s="56">
        <v>662388.40800000005</v>
      </c>
      <c r="M10" s="56">
        <v>741375.26099999994</v>
      </c>
      <c r="N10" s="56">
        <v>701929.96200000006</v>
      </c>
      <c r="O10" s="56">
        <v>737428.8060000001</v>
      </c>
      <c r="P10" s="57">
        <v>663581.97000000009</v>
      </c>
      <c r="Q10" s="58">
        <f t="shared" si="0"/>
        <v>7502092.0919650001</v>
      </c>
    </row>
    <row r="11" spans="2:18" x14ac:dyDescent="0.4">
      <c r="B11" s="108" t="s">
        <v>42</v>
      </c>
      <c r="C11" s="59" t="s">
        <v>1</v>
      </c>
      <c r="D11" s="60" t="s">
        <v>12</v>
      </c>
      <c r="E11" s="44">
        <v>535349.69279999996</v>
      </c>
      <c r="F11" s="44">
        <v>629031.91960799997</v>
      </c>
      <c r="G11" s="44">
        <v>549722.16151200014</v>
      </c>
      <c r="H11" s="44">
        <v>526267.50569999998</v>
      </c>
      <c r="I11" s="44">
        <v>719016.5782799999</v>
      </c>
      <c r="J11" s="44">
        <v>990627.39098999999</v>
      </c>
      <c r="K11" s="61">
        <v>1049705.28</v>
      </c>
      <c r="L11" s="61">
        <v>1027829.934</v>
      </c>
      <c r="M11" s="61">
        <v>951076.4040000001</v>
      </c>
      <c r="N11" s="61">
        <v>836673.3</v>
      </c>
      <c r="O11" s="61">
        <v>939890.95199999993</v>
      </c>
      <c r="P11" s="62">
        <v>1153904.9400000002</v>
      </c>
      <c r="Q11" s="63">
        <f t="shared" si="0"/>
        <v>9909096.05889</v>
      </c>
    </row>
    <row r="12" spans="2:18" x14ac:dyDescent="0.4">
      <c r="B12" s="107" t="s">
        <v>41</v>
      </c>
      <c r="C12" s="54" t="s">
        <v>11</v>
      </c>
      <c r="D12" s="55" t="s">
        <v>12</v>
      </c>
      <c r="E12" s="18">
        <v>402420.02456666715</v>
      </c>
      <c r="F12" s="18">
        <v>619900.56911666703</v>
      </c>
      <c r="G12" s="18">
        <v>606259.80991666706</v>
      </c>
      <c r="H12" s="18">
        <v>328206.87101666717</v>
      </c>
      <c r="I12" s="18">
        <v>520786.60931666713</v>
      </c>
      <c r="J12" s="18">
        <v>708103.60031666688</v>
      </c>
      <c r="K12" s="56">
        <v>588464.1001166671</v>
      </c>
      <c r="L12" s="56">
        <v>587854.485116667</v>
      </c>
      <c r="M12" s="56">
        <v>624903.3451166671</v>
      </c>
      <c r="N12" s="56">
        <v>515998.57511666714</v>
      </c>
      <c r="O12" s="56">
        <v>570686.94011666707</v>
      </c>
      <c r="P12" s="57">
        <v>603114.52511666692</v>
      </c>
      <c r="Q12" s="58">
        <f t="shared" si="0"/>
        <v>6676699.4549500057</v>
      </c>
    </row>
    <row r="13" spans="2:18" x14ac:dyDescent="0.4">
      <c r="B13" s="107" t="s">
        <v>43</v>
      </c>
      <c r="C13" s="54" t="s">
        <v>11</v>
      </c>
      <c r="D13" s="55" t="s">
        <v>12</v>
      </c>
      <c r="E13" s="18">
        <v>558529.4846666666</v>
      </c>
      <c r="F13" s="18">
        <v>524219.23726666655</v>
      </c>
      <c r="G13" s="18">
        <v>705033.27666666661</v>
      </c>
      <c r="H13" s="18">
        <v>519858.19746666652</v>
      </c>
      <c r="I13" s="18">
        <v>570334.38416666666</v>
      </c>
      <c r="J13" s="18">
        <v>647260.84971666662</v>
      </c>
      <c r="K13" s="56">
        <v>641931.7666666666</v>
      </c>
      <c r="L13" s="56">
        <v>722282.95666666667</v>
      </c>
      <c r="M13" s="56">
        <v>805033.27666666661</v>
      </c>
      <c r="N13" s="56">
        <v>739037.53666666662</v>
      </c>
      <c r="O13" s="56">
        <v>733374.0166666666</v>
      </c>
      <c r="P13" s="57">
        <v>739804.47166666668</v>
      </c>
      <c r="Q13" s="58">
        <f t="shared" si="0"/>
        <v>7906699.4549499992</v>
      </c>
    </row>
    <row r="14" spans="2:18" x14ac:dyDescent="0.4">
      <c r="B14" s="108" t="s">
        <v>42</v>
      </c>
      <c r="C14" s="59" t="s">
        <v>11</v>
      </c>
      <c r="D14" s="60" t="s">
        <v>12</v>
      </c>
      <c r="E14" s="44">
        <v>623673.70666666655</v>
      </c>
      <c r="F14" s="44">
        <v>795687.95626666653</v>
      </c>
      <c r="G14" s="44">
        <v>707424.14586666669</v>
      </c>
      <c r="H14" s="44">
        <v>723615.33526666672</v>
      </c>
      <c r="I14" s="44">
        <v>812543.03466666664</v>
      </c>
      <c r="J14" s="44">
        <v>742230.85381666664</v>
      </c>
      <c r="K14" s="61">
        <v>1078345.0666666667</v>
      </c>
      <c r="L14" s="61">
        <v>1127807.3466666667</v>
      </c>
      <c r="M14" s="61">
        <v>1067780.6066666667</v>
      </c>
      <c r="N14" s="61">
        <v>998354.05666666676</v>
      </c>
      <c r="O14" s="61">
        <v>1020418.1866666666</v>
      </c>
      <c r="P14" s="62">
        <v>1028363.8816666667</v>
      </c>
      <c r="Q14" s="63">
        <f t="shared" si="0"/>
        <v>10726244.177549999</v>
      </c>
    </row>
    <row r="15" spans="2:18" x14ac:dyDescent="0.4">
      <c r="B15" s="106" t="s">
        <v>41</v>
      </c>
      <c r="C15" s="49" t="s">
        <v>1</v>
      </c>
      <c r="D15" s="50" t="s">
        <v>27</v>
      </c>
      <c r="E15" s="45">
        <f t="shared" ref="E15:P20" si="1">E3-E9</f>
        <v>513206.94638500013</v>
      </c>
      <c r="F15" s="45">
        <f t="shared" si="1"/>
        <v>402186.56519999995</v>
      </c>
      <c r="G15" s="45">
        <f t="shared" si="1"/>
        <v>58233.096640000003</v>
      </c>
      <c r="H15" s="45">
        <f t="shared" si="1"/>
        <v>354798.15386999998</v>
      </c>
      <c r="I15" s="45">
        <f t="shared" si="1"/>
        <v>500822.33705999999</v>
      </c>
      <c r="J15" s="45">
        <f t="shared" si="1"/>
        <v>369148.44335999992</v>
      </c>
      <c r="K15" s="64">
        <f t="shared" si="1"/>
        <v>177255.94000000006</v>
      </c>
      <c r="L15" s="64">
        <f t="shared" si="1"/>
        <v>66708.095999999903</v>
      </c>
      <c r="M15" s="64">
        <f t="shared" si="1"/>
        <v>166596.82000000007</v>
      </c>
      <c r="N15" s="64">
        <f t="shared" si="1"/>
        <v>198209.40000000002</v>
      </c>
      <c r="O15" s="64">
        <f t="shared" si="1"/>
        <v>179451.06000000006</v>
      </c>
      <c r="P15" s="65">
        <f t="shared" si="1"/>
        <v>201526.55199999991</v>
      </c>
      <c r="Q15" s="53">
        <f t="shared" si="0"/>
        <v>3188143.4105150001</v>
      </c>
      <c r="R15" s="1"/>
    </row>
    <row r="16" spans="2:18" x14ac:dyDescent="0.4">
      <c r="B16" s="107" t="s">
        <v>43</v>
      </c>
      <c r="C16" s="54" t="s">
        <v>1</v>
      </c>
      <c r="D16" s="55" t="s">
        <v>27</v>
      </c>
      <c r="E16" s="13">
        <f t="shared" si="1"/>
        <v>281492.02740000002</v>
      </c>
      <c r="F16" s="13">
        <f t="shared" si="1"/>
        <v>98521.200580000062</v>
      </c>
      <c r="G16" s="13">
        <f t="shared" si="1"/>
        <v>398669.37300000014</v>
      </c>
      <c r="H16" s="13">
        <f t="shared" si="1"/>
        <v>172665.92844000005</v>
      </c>
      <c r="I16" s="13">
        <f t="shared" si="1"/>
        <v>41296.597749999957</v>
      </c>
      <c r="J16" s="13">
        <f t="shared" si="1"/>
        <v>115891.07186499995</v>
      </c>
      <c r="K16" s="67">
        <f t="shared" si="1"/>
        <v>138577.11599999992</v>
      </c>
      <c r="L16" s="67">
        <f t="shared" si="1"/>
        <v>197811.59199999995</v>
      </c>
      <c r="M16" s="67">
        <f t="shared" si="1"/>
        <v>153324.73900000006</v>
      </c>
      <c r="N16" s="67">
        <f t="shared" si="1"/>
        <v>112270.03799999994</v>
      </c>
      <c r="O16" s="67">
        <f t="shared" si="1"/>
        <v>85971.193999999901</v>
      </c>
      <c r="P16" s="68">
        <f t="shared" si="1"/>
        <v>217318.02999999991</v>
      </c>
      <c r="Q16" s="58">
        <f t="shared" si="0"/>
        <v>2013808.9080349999</v>
      </c>
      <c r="R16" s="1"/>
    </row>
    <row r="17" spans="1:18" x14ac:dyDescent="0.4">
      <c r="B17" s="108" t="s">
        <v>42</v>
      </c>
      <c r="C17" s="59" t="s">
        <v>1</v>
      </c>
      <c r="D17" s="60" t="s">
        <v>27</v>
      </c>
      <c r="E17" s="46">
        <f t="shared" si="1"/>
        <v>385570.30720000004</v>
      </c>
      <c r="F17" s="46">
        <f t="shared" si="1"/>
        <v>682129.08039200003</v>
      </c>
      <c r="G17" s="46">
        <f t="shared" si="1"/>
        <v>475410.83848799986</v>
      </c>
      <c r="H17" s="46">
        <f t="shared" si="1"/>
        <v>828018.49430000002</v>
      </c>
      <c r="I17" s="46">
        <f t="shared" si="1"/>
        <v>173567.4217200001</v>
      </c>
      <c r="J17" s="46">
        <f t="shared" si="1"/>
        <v>7392.6090100000147</v>
      </c>
      <c r="K17" s="69">
        <f t="shared" si="1"/>
        <v>146294.71999999997</v>
      </c>
      <c r="L17" s="69">
        <f t="shared" si="1"/>
        <v>175070.06599999999</v>
      </c>
      <c r="M17" s="69">
        <f t="shared" si="1"/>
        <v>284023.5959999999</v>
      </c>
      <c r="N17" s="69">
        <f t="shared" si="1"/>
        <v>311026.69999999995</v>
      </c>
      <c r="O17" s="69">
        <f t="shared" si="1"/>
        <v>219309.04800000007</v>
      </c>
      <c r="P17" s="70">
        <f t="shared" si="1"/>
        <v>122595.05999999982</v>
      </c>
      <c r="Q17" s="63">
        <f t="shared" si="0"/>
        <v>3810407.9411099991</v>
      </c>
      <c r="R17" s="1"/>
    </row>
    <row r="18" spans="1:18" x14ac:dyDescent="0.4">
      <c r="B18" s="107" t="s">
        <v>41</v>
      </c>
      <c r="C18" s="54" t="s">
        <v>11</v>
      </c>
      <c r="D18" s="55" t="s">
        <v>27</v>
      </c>
      <c r="E18" s="13">
        <f t="shared" si="1"/>
        <v>376181.01543333288</v>
      </c>
      <c r="F18" s="13">
        <f t="shared" si="1"/>
        <v>176516.19888333289</v>
      </c>
      <c r="G18" s="13">
        <f t="shared" si="1"/>
        <v>91583.263083332917</v>
      </c>
      <c r="H18" s="13">
        <f t="shared" si="1"/>
        <v>303741.01398333284</v>
      </c>
      <c r="I18" s="13">
        <f t="shared" si="1"/>
        <v>250867.99068333284</v>
      </c>
      <c r="J18" s="13">
        <f t="shared" si="1"/>
        <v>63079.0396833329</v>
      </c>
      <c r="K18" s="67">
        <f t="shared" si="1"/>
        <v>106715.3998833329</v>
      </c>
      <c r="L18" s="67">
        <f t="shared" si="1"/>
        <v>116939.11488333298</v>
      </c>
      <c r="M18" s="67">
        <f t="shared" si="1"/>
        <v>165323.75488333299</v>
      </c>
      <c r="N18" s="67">
        <f t="shared" si="1"/>
        <v>227469.52488333295</v>
      </c>
      <c r="O18" s="67">
        <f t="shared" si="1"/>
        <v>72358.559883332928</v>
      </c>
      <c r="P18" s="68">
        <f t="shared" si="1"/>
        <v>73361.474883332965</v>
      </c>
      <c r="Q18" s="58">
        <f t="shared" si="0"/>
        <v>2024136.351049995</v>
      </c>
      <c r="R18" s="1"/>
    </row>
    <row r="19" spans="1:18" x14ac:dyDescent="0.4">
      <c r="B19" s="107" t="s">
        <v>43</v>
      </c>
      <c r="C19" s="54" t="s">
        <v>11</v>
      </c>
      <c r="D19" s="55" t="s">
        <v>27</v>
      </c>
      <c r="E19" s="13">
        <f t="shared" si="1"/>
        <v>193917.65433333337</v>
      </c>
      <c r="F19" s="13">
        <f t="shared" si="1"/>
        <v>108449.26073333347</v>
      </c>
      <c r="G19" s="13">
        <f t="shared" si="1"/>
        <v>258827.03333333344</v>
      </c>
      <c r="H19" s="13">
        <f t="shared" si="1"/>
        <v>60259.302533333481</v>
      </c>
      <c r="I19" s="13">
        <f t="shared" si="1"/>
        <v>96156.581833333359</v>
      </c>
      <c r="J19" s="13">
        <f t="shared" si="1"/>
        <v>63643.300283333403</v>
      </c>
      <c r="K19" s="67">
        <f t="shared" si="1"/>
        <v>133786.93333333335</v>
      </c>
      <c r="L19" s="67">
        <f t="shared" si="1"/>
        <v>78563.243333333288</v>
      </c>
      <c r="M19" s="67">
        <f t="shared" si="1"/>
        <v>87429.973333333386</v>
      </c>
      <c r="N19" s="67">
        <f t="shared" si="1"/>
        <v>34452.463333333377</v>
      </c>
      <c r="O19" s="67">
        <f t="shared" si="1"/>
        <v>64500.583333333372</v>
      </c>
      <c r="P19" s="68">
        <f t="shared" si="1"/>
        <v>97050.528333333321</v>
      </c>
      <c r="Q19" s="58">
        <f t="shared" si="0"/>
        <v>1277036.8580500009</v>
      </c>
      <c r="R19" s="1"/>
    </row>
    <row r="20" spans="1:18" x14ac:dyDescent="0.4">
      <c r="B20" s="108" t="s">
        <v>42</v>
      </c>
      <c r="C20" s="59" t="s">
        <v>11</v>
      </c>
      <c r="D20" s="60" t="s">
        <v>27</v>
      </c>
      <c r="E20" s="46">
        <f t="shared" si="1"/>
        <v>338687.69333333347</v>
      </c>
      <c r="F20" s="46">
        <f t="shared" si="1"/>
        <v>516784.20473333378</v>
      </c>
      <c r="G20" s="46">
        <f t="shared" si="1"/>
        <v>363839.83913333318</v>
      </c>
      <c r="H20" s="46">
        <f t="shared" si="1"/>
        <v>691613.53473333316</v>
      </c>
      <c r="I20" s="46">
        <f t="shared" si="1"/>
        <v>100570.3973333335</v>
      </c>
      <c r="J20" s="46">
        <f t="shared" si="1"/>
        <v>233918.39758333343</v>
      </c>
      <c r="K20" s="69">
        <f t="shared" si="1"/>
        <v>171474.93333333335</v>
      </c>
      <c r="L20" s="69">
        <f t="shared" si="1"/>
        <v>76295.553333333461</v>
      </c>
      <c r="M20" s="69">
        <f t="shared" si="1"/>
        <v>222898.89333333331</v>
      </c>
      <c r="N20" s="69">
        <f t="shared" si="1"/>
        <v>200992.44333333324</v>
      </c>
      <c r="O20" s="69">
        <f t="shared" si="1"/>
        <v>165443.41333333345</v>
      </c>
      <c r="P20" s="70">
        <f t="shared" si="1"/>
        <v>407149.72333333327</v>
      </c>
      <c r="Q20" s="63">
        <f t="shared" si="0"/>
        <v>3489669.026850001</v>
      </c>
    </row>
    <row r="21" spans="1:18" x14ac:dyDescent="0.4">
      <c r="B21" s="109" t="s">
        <v>13</v>
      </c>
      <c r="C21" s="71" t="s">
        <v>1</v>
      </c>
      <c r="D21" s="72" t="s">
        <v>0</v>
      </c>
      <c r="E21" s="36">
        <v>2569514</v>
      </c>
      <c r="F21" s="36">
        <v>2863983</v>
      </c>
      <c r="G21" s="36">
        <v>2481171</v>
      </c>
      <c r="H21" s="36">
        <v>2586626</v>
      </c>
      <c r="I21" s="36">
        <v>2479718</v>
      </c>
      <c r="J21" s="36">
        <v>2543045</v>
      </c>
      <c r="K21" s="73">
        <v>2780700</v>
      </c>
      <c r="L21" s="73">
        <v>2835900</v>
      </c>
      <c r="M21" s="73">
        <v>2907200</v>
      </c>
      <c r="N21" s="73">
        <v>2693300</v>
      </c>
      <c r="O21" s="73">
        <v>2734700</v>
      </c>
      <c r="P21" s="74">
        <v>2948600</v>
      </c>
      <c r="Q21" s="74">
        <v>32424457</v>
      </c>
      <c r="R21" s="1"/>
    </row>
    <row r="22" spans="1:18" x14ac:dyDescent="0.4">
      <c r="B22" s="109" t="s">
        <v>13</v>
      </c>
      <c r="C22" s="71" t="s">
        <v>1</v>
      </c>
      <c r="D22" s="72" t="s">
        <v>12</v>
      </c>
      <c r="E22" s="37">
        <v>1389244.7190149999</v>
      </c>
      <c r="F22" s="37">
        <v>1681146.153828</v>
      </c>
      <c r="G22" s="37">
        <v>1548857.6918720002</v>
      </c>
      <c r="H22" s="37">
        <v>1231143.4233900001</v>
      </c>
      <c r="I22" s="37">
        <v>1764031.64347</v>
      </c>
      <c r="J22" s="37">
        <v>2050612.8757649998</v>
      </c>
      <c r="K22" s="75">
        <v>2318572.2240000004</v>
      </c>
      <c r="L22" s="75">
        <v>2396310.2460000003</v>
      </c>
      <c r="M22" s="75">
        <v>2303254.8449999997</v>
      </c>
      <c r="N22" s="75">
        <v>2071793.862</v>
      </c>
      <c r="O22" s="75">
        <v>2249968.6979999999</v>
      </c>
      <c r="P22" s="76">
        <v>2407160.358</v>
      </c>
      <c r="Q22" s="76">
        <v>23412096.740340002</v>
      </c>
      <c r="R22" s="1"/>
    </row>
    <row r="23" spans="1:18" x14ac:dyDescent="0.4">
      <c r="B23" s="109" t="s">
        <v>13</v>
      </c>
      <c r="C23" s="71" t="s">
        <v>1</v>
      </c>
      <c r="D23" s="72" t="s">
        <v>27</v>
      </c>
      <c r="E23" s="37">
        <v>1180269.2809850001</v>
      </c>
      <c r="F23" s="37">
        <v>1182836.846172</v>
      </c>
      <c r="G23" s="37">
        <v>932313.308128</v>
      </c>
      <c r="H23" s="37">
        <v>1355482.5766099999</v>
      </c>
      <c r="I23" s="37">
        <v>715686.35653000011</v>
      </c>
      <c r="J23" s="37">
        <v>492432.12423499988</v>
      </c>
      <c r="K23" s="75">
        <v>462127.77599999995</v>
      </c>
      <c r="L23" s="75">
        <v>439589.75399999984</v>
      </c>
      <c r="M23" s="75">
        <v>603945.15500000003</v>
      </c>
      <c r="N23" s="75">
        <v>621506.13799999992</v>
      </c>
      <c r="O23" s="75">
        <v>484731.30200000003</v>
      </c>
      <c r="P23" s="76">
        <v>541439.64199999964</v>
      </c>
      <c r="Q23" s="76">
        <v>9012360.2596599981</v>
      </c>
      <c r="R23" s="1"/>
    </row>
    <row r="24" spans="1:18" x14ac:dyDescent="0.4">
      <c r="B24" s="109" t="s">
        <v>13</v>
      </c>
      <c r="C24" s="71" t="s">
        <v>11</v>
      </c>
      <c r="D24" s="72" t="s">
        <v>0</v>
      </c>
      <c r="E24" s="37">
        <v>2493409.5789999999</v>
      </c>
      <c r="F24" s="37">
        <v>2741557.4270000001</v>
      </c>
      <c r="G24" s="37">
        <v>2732967.3679999998</v>
      </c>
      <c r="H24" s="37">
        <v>2627294.2549999999</v>
      </c>
      <c r="I24" s="37">
        <v>2351258.9980000001</v>
      </c>
      <c r="J24" s="37">
        <v>2458236.0414</v>
      </c>
      <c r="K24" s="75">
        <v>2720718.2</v>
      </c>
      <c r="L24" s="75">
        <v>2709742.7</v>
      </c>
      <c r="M24" s="75">
        <v>2973369.85</v>
      </c>
      <c r="N24" s="75">
        <v>2716304.6</v>
      </c>
      <c r="O24" s="75">
        <v>2626781.7000000002</v>
      </c>
      <c r="P24" s="76">
        <v>2948844.605</v>
      </c>
      <c r="Q24" s="76">
        <v>32100485.323400006</v>
      </c>
      <c r="R24" s="1"/>
    </row>
    <row r="25" spans="1:18" x14ac:dyDescent="0.4">
      <c r="B25" s="109" t="s">
        <v>13</v>
      </c>
      <c r="C25" s="71" t="s">
        <v>11</v>
      </c>
      <c r="D25" s="72" t="s">
        <v>12</v>
      </c>
      <c r="E25" s="37">
        <v>1584623.2159000002</v>
      </c>
      <c r="F25" s="37">
        <v>1939807.7626500002</v>
      </c>
      <c r="G25" s="37">
        <v>2018717.2324500002</v>
      </c>
      <c r="H25" s="37">
        <v>1571680.4037500005</v>
      </c>
      <c r="I25" s="37">
        <v>1903664.0281500006</v>
      </c>
      <c r="J25" s="37">
        <v>2097595.3038500003</v>
      </c>
      <c r="K25" s="75">
        <v>2308740.9334500004</v>
      </c>
      <c r="L25" s="75">
        <v>2437944.7884500003</v>
      </c>
      <c r="M25" s="75">
        <v>2497717.2284500003</v>
      </c>
      <c r="N25" s="75">
        <v>2253390.1684500007</v>
      </c>
      <c r="O25" s="75">
        <v>2324479.1434500003</v>
      </c>
      <c r="P25" s="76">
        <v>2371282.8784500002</v>
      </c>
      <c r="Q25" s="76">
        <v>25309643.087450005</v>
      </c>
      <c r="R25" s="1"/>
    </row>
    <row r="26" spans="1:18" x14ac:dyDescent="0.4">
      <c r="B26" s="110" t="s">
        <v>13</v>
      </c>
      <c r="C26" s="77" t="s">
        <v>11</v>
      </c>
      <c r="D26" s="78" t="s">
        <v>27</v>
      </c>
      <c r="E26" s="38">
        <v>908786.36309999973</v>
      </c>
      <c r="F26" s="38">
        <v>801749.66435000021</v>
      </c>
      <c r="G26" s="38">
        <v>714250.13554999954</v>
      </c>
      <c r="H26" s="38">
        <v>1055613.8512499994</v>
      </c>
      <c r="I26" s="38">
        <v>447594.9698499997</v>
      </c>
      <c r="J26" s="38">
        <v>360640.73754999973</v>
      </c>
      <c r="K26" s="79">
        <v>411977.26654999959</v>
      </c>
      <c r="L26" s="79">
        <v>271797.91154999973</v>
      </c>
      <c r="M26" s="79">
        <v>475652.62154999969</v>
      </c>
      <c r="N26" s="79">
        <v>462914.43154999957</v>
      </c>
      <c r="O26" s="79">
        <v>302302.55654999975</v>
      </c>
      <c r="P26" s="80">
        <v>577561.72654999956</v>
      </c>
      <c r="Q26" s="80">
        <v>6790842.2359499969</v>
      </c>
    </row>
    <row r="27" spans="1:18" s="16" customFormat="1" x14ac:dyDescent="0.4">
      <c r="B27" s="14"/>
      <c r="C27" s="1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7"/>
    </row>
    <row r="28" spans="1:18" x14ac:dyDescent="0.4">
      <c r="B28" s="12"/>
      <c r="C28" s="2"/>
      <c r="E28" s="31"/>
      <c r="F28" s="3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8" x14ac:dyDescent="0.4">
      <c r="B29" s="12"/>
      <c r="C29" s="2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8" x14ac:dyDescent="0.4">
      <c r="A30" s="20" t="s">
        <v>36</v>
      </c>
      <c r="B30" s="20"/>
      <c r="C30" s="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8" x14ac:dyDescent="0.4">
      <c r="A31" s="16"/>
      <c r="B31" s="23" t="s">
        <v>28</v>
      </c>
      <c r="C31" s="24" t="s">
        <v>34</v>
      </c>
      <c r="D31" s="25" t="s">
        <v>29</v>
      </c>
      <c r="E31" s="13"/>
      <c r="F31" s="13"/>
      <c r="K31" s="13"/>
      <c r="L31" s="13"/>
      <c r="M31" s="13"/>
      <c r="N31" s="13"/>
      <c r="O31" s="13"/>
      <c r="P31" s="13"/>
      <c r="Q31" s="13"/>
    </row>
    <row r="32" spans="1:18" x14ac:dyDescent="0.4">
      <c r="A32" s="16"/>
      <c r="B32" s="148" t="s">
        <v>1</v>
      </c>
      <c r="C32" s="120">
        <v>2</v>
      </c>
      <c r="D32" s="122" t="str" cm="1">
        <f t="array" ref="D32">INDEX(B32:B33,C32)</f>
        <v>Budget</v>
      </c>
      <c r="E32" s="13"/>
      <c r="F32" s="13"/>
      <c r="K32" s="13"/>
      <c r="L32" s="13"/>
      <c r="M32" s="13"/>
      <c r="N32" s="13"/>
      <c r="O32" s="13"/>
      <c r="P32" s="13"/>
      <c r="Q32" s="13"/>
    </row>
    <row r="33" spans="1:19" x14ac:dyDescent="0.4">
      <c r="A33" s="16"/>
      <c r="B33" s="149" t="s">
        <v>11</v>
      </c>
      <c r="C33" s="26"/>
      <c r="D33" s="22"/>
      <c r="E33" s="13"/>
      <c r="F33" s="13"/>
      <c r="K33" s="13"/>
      <c r="L33" s="13"/>
      <c r="M33" s="13"/>
      <c r="N33" s="13"/>
      <c r="O33" s="13"/>
      <c r="P33" s="13"/>
      <c r="Q33" s="13"/>
    </row>
    <row r="34" spans="1:19" x14ac:dyDescent="0.4">
      <c r="A34" s="16"/>
      <c r="E34" s="13"/>
      <c r="F34" s="13"/>
      <c r="K34" s="13"/>
      <c r="L34" s="13"/>
      <c r="M34" s="13"/>
      <c r="N34" s="13"/>
      <c r="O34" s="13"/>
      <c r="P34" s="13"/>
      <c r="Q34" s="13"/>
    </row>
    <row r="35" spans="1:19" x14ac:dyDescent="0.4">
      <c r="A35" s="16"/>
      <c r="B35" s="12"/>
      <c r="C35" s="2"/>
      <c r="E35" s="13"/>
      <c r="F35" s="13"/>
      <c r="K35" s="13"/>
      <c r="L35" s="13"/>
      <c r="M35" s="13"/>
      <c r="N35" s="13"/>
      <c r="O35" s="13"/>
      <c r="P35" s="13"/>
      <c r="Q35" s="13"/>
    </row>
    <row r="36" spans="1:19" x14ac:dyDescent="0.4">
      <c r="A36" s="16"/>
      <c r="B36" s="27" t="s">
        <v>52</v>
      </c>
      <c r="C36" s="24" t="s">
        <v>34</v>
      </c>
      <c r="D36" s="25" t="s">
        <v>29</v>
      </c>
      <c r="F36" s="13"/>
      <c r="K36" s="13"/>
      <c r="L36" s="13"/>
      <c r="M36" s="13"/>
      <c r="N36" s="13"/>
      <c r="O36" s="13"/>
      <c r="P36" s="13"/>
      <c r="Q36" s="13"/>
    </row>
    <row r="37" spans="1:19" x14ac:dyDescent="0.4">
      <c r="A37" s="16"/>
      <c r="B37" s="150" t="s">
        <v>41</v>
      </c>
      <c r="C37" s="121">
        <v>1</v>
      </c>
      <c r="D37" s="123" t="str" cm="1">
        <f t="array" ref="D37">INDEX(B37:B40,C37)</f>
        <v>Hanoi</v>
      </c>
      <c r="F37" s="13"/>
      <c r="K37" s="13"/>
      <c r="L37" s="13"/>
      <c r="M37" s="13"/>
      <c r="N37" s="13"/>
      <c r="O37" s="13"/>
      <c r="P37" s="13"/>
      <c r="Q37" s="13"/>
    </row>
    <row r="38" spans="1:19" x14ac:dyDescent="0.4">
      <c r="A38" s="16"/>
      <c r="B38" s="150" t="s">
        <v>43</v>
      </c>
      <c r="D38" s="29"/>
      <c r="F38" s="13"/>
      <c r="K38" s="13"/>
      <c r="L38" s="13"/>
      <c r="M38" s="13"/>
      <c r="N38" s="13"/>
      <c r="O38" s="13"/>
      <c r="P38" s="13"/>
      <c r="Q38" s="13"/>
    </row>
    <row r="39" spans="1:19" x14ac:dyDescent="0.4">
      <c r="A39" s="16"/>
      <c r="B39" s="150" t="s">
        <v>42</v>
      </c>
      <c r="D39" s="29"/>
      <c r="F39" s="13"/>
      <c r="K39" s="13"/>
      <c r="L39" s="13"/>
      <c r="M39" s="13"/>
      <c r="N39" s="13"/>
      <c r="O39" s="13"/>
      <c r="P39" s="13"/>
      <c r="Q39" s="13"/>
    </row>
    <row r="40" spans="1:19" x14ac:dyDescent="0.4">
      <c r="A40" s="16"/>
      <c r="B40" s="151" t="s">
        <v>13</v>
      </c>
      <c r="C40" s="26"/>
      <c r="D40" s="22"/>
      <c r="F40" s="13"/>
      <c r="K40" s="13"/>
      <c r="L40" s="13"/>
      <c r="M40" s="13"/>
      <c r="N40" s="13"/>
      <c r="O40" s="13"/>
      <c r="P40" s="13"/>
      <c r="Q40" s="13"/>
    </row>
    <row r="41" spans="1:19" x14ac:dyDescent="0.4">
      <c r="A41" s="16"/>
      <c r="F41" s="13"/>
      <c r="K41" s="13"/>
      <c r="L41" s="13"/>
      <c r="M41" s="13"/>
      <c r="N41" s="13"/>
      <c r="O41" s="13"/>
      <c r="P41" s="13"/>
      <c r="Q41" s="13"/>
    </row>
    <row r="42" spans="1:19" x14ac:dyDescent="0.4">
      <c r="A42" s="16"/>
      <c r="B42" s="12"/>
      <c r="C42" s="2"/>
      <c r="E42" s="13"/>
      <c r="F42" s="13"/>
      <c r="K42" s="13"/>
      <c r="L42" s="13"/>
      <c r="M42" s="13"/>
      <c r="N42" s="13"/>
      <c r="O42" s="13"/>
      <c r="P42" s="13"/>
      <c r="Q42" s="13"/>
    </row>
    <row r="43" spans="1:19" x14ac:dyDescent="0.4">
      <c r="A43" s="16"/>
      <c r="B43" s="12"/>
      <c r="C43" s="2"/>
      <c r="E43" s="13"/>
      <c r="F43" s="13"/>
      <c r="K43" s="13"/>
      <c r="L43" s="13"/>
      <c r="M43" s="13"/>
      <c r="N43" s="13"/>
      <c r="O43" s="13"/>
      <c r="P43" s="13"/>
      <c r="Q43" s="13"/>
    </row>
    <row r="44" spans="1:19" x14ac:dyDescent="0.4">
      <c r="A44" s="16"/>
      <c r="B44" s="12"/>
      <c r="C44" s="2"/>
      <c r="E44" s="13"/>
      <c r="F44" s="13"/>
      <c r="K44" s="13"/>
      <c r="L44" s="13"/>
      <c r="M44" s="13"/>
      <c r="N44" s="13"/>
      <c r="O44" s="13"/>
      <c r="P44" s="13"/>
      <c r="Q44" s="13"/>
    </row>
    <row r="45" spans="1:19" x14ac:dyDescent="0.4">
      <c r="A45" s="20" t="s">
        <v>35</v>
      </c>
      <c r="B45" s="20" t="s">
        <v>47</v>
      </c>
      <c r="C45" s="2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9" x14ac:dyDescent="0.4">
      <c r="A46" s="16"/>
      <c r="B46" s="32" t="s">
        <v>52</v>
      </c>
      <c r="C46" s="7" t="s">
        <v>28</v>
      </c>
      <c r="D46" s="105" t="s">
        <v>14</v>
      </c>
      <c r="E46" s="3" t="s">
        <v>21</v>
      </c>
      <c r="F46" s="3" t="s">
        <v>22</v>
      </c>
      <c r="G46" s="3" t="s">
        <v>23</v>
      </c>
      <c r="H46" s="3" t="s">
        <v>24</v>
      </c>
      <c r="I46" s="3" t="s">
        <v>25</v>
      </c>
      <c r="J46" s="3" t="s">
        <v>26</v>
      </c>
      <c r="K46" s="3" t="s">
        <v>15</v>
      </c>
      <c r="L46" s="3" t="s">
        <v>16</v>
      </c>
      <c r="M46" s="3" t="s">
        <v>17</v>
      </c>
      <c r="N46" s="3" t="s">
        <v>18</v>
      </c>
      <c r="O46" s="3" t="s">
        <v>19</v>
      </c>
      <c r="P46" s="4" t="s">
        <v>20</v>
      </c>
      <c r="Q46" s="5" t="s">
        <v>13</v>
      </c>
    </row>
    <row r="47" spans="1:19" x14ac:dyDescent="0.4">
      <c r="A47" s="16"/>
      <c r="B47" s="121" t="str">
        <f>region</f>
        <v>Hanoi</v>
      </c>
      <c r="C47" s="120" t="str">
        <f>ab</f>
        <v>Budget</v>
      </c>
      <c r="D47" t="s">
        <v>0</v>
      </c>
      <c r="E47" s="124">
        <f>SUMIFS(E$2:E$26,$B$2:$B$26,$B47,$C$2:$C$26,$C47,$D$2:$D$26,$D47)</f>
        <v>778601.04</v>
      </c>
      <c r="F47" s="124">
        <f t="shared" ref="F47:Q49" si="2">SUMIFS(F$2:F$26,$B$2:$B$26,$B47,$C$2:$C$26,$C47,$D$2:$D$26,$D47)</f>
        <v>796416.76799999992</v>
      </c>
      <c r="G47" s="124">
        <f t="shared" si="2"/>
        <v>697843.07299999997</v>
      </c>
      <c r="H47" s="124">
        <f t="shared" si="2"/>
        <v>631947.88500000001</v>
      </c>
      <c r="I47" s="124">
        <f t="shared" si="2"/>
        <v>771654.6</v>
      </c>
      <c r="J47" s="124">
        <f t="shared" si="2"/>
        <v>771182.63999999978</v>
      </c>
      <c r="K47" s="124">
        <f t="shared" si="2"/>
        <v>695179.5</v>
      </c>
      <c r="L47" s="124">
        <f t="shared" si="2"/>
        <v>704793.59999999998</v>
      </c>
      <c r="M47" s="124">
        <f t="shared" si="2"/>
        <v>790227.10000000009</v>
      </c>
      <c r="N47" s="124">
        <f t="shared" si="2"/>
        <v>743468.10000000009</v>
      </c>
      <c r="O47" s="124">
        <f t="shared" si="2"/>
        <v>643045.5</v>
      </c>
      <c r="P47" s="124">
        <f t="shared" si="2"/>
        <v>676475.99999999988</v>
      </c>
      <c r="Q47" s="124">
        <f t="shared" si="2"/>
        <v>8700835.8059999999</v>
      </c>
    </row>
    <row r="48" spans="1:19" x14ac:dyDescent="0.4">
      <c r="A48" s="16"/>
      <c r="B48" s="121" t="str">
        <f>region</f>
        <v>Hanoi</v>
      </c>
      <c r="C48" s="120" t="str">
        <f>ab</f>
        <v>Budget</v>
      </c>
      <c r="D48" t="s">
        <v>12</v>
      </c>
      <c r="E48" s="124">
        <f t="shared" ref="E48:E49" si="3">SUMIFS(E$2:E$26,$B$2:$B$26,$B48,$C$2:$C$26,$C48,$D$2:$D$26,$D48)</f>
        <v>402420.02456666715</v>
      </c>
      <c r="F48" s="124">
        <f t="shared" si="2"/>
        <v>619900.56911666703</v>
      </c>
      <c r="G48" s="124">
        <f t="shared" si="2"/>
        <v>606259.80991666706</v>
      </c>
      <c r="H48" s="124">
        <f t="shared" si="2"/>
        <v>328206.87101666717</v>
      </c>
      <c r="I48" s="124">
        <f t="shared" si="2"/>
        <v>520786.60931666713</v>
      </c>
      <c r="J48" s="124">
        <f t="shared" si="2"/>
        <v>708103.60031666688</v>
      </c>
      <c r="K48" s="124">
        <f t="shared" si="2"/>
        <v>588464.1001166671</v>
      </c>
      <c r="L48" s="124">
        <f t="shared" si="2"/>
        <v>587854.485116667</v>
      </c>
      <c r="M48" s="124">
        <f t="shared" si="2"/>
        <v>624903.3451166671</v>
      </c>
      <c r="N48" s="124">
        <f t="shared" si="2"/>
        <v>515998.57511666714</v>
      </c>
      <c r="O48" s="124">
        <f t="shared" si="2"/>
        <v>570686.94011666707</v>
      </c>
      <c r="P48" s="124">
        <f t="shared" si="2"/>
        <v>603114.52511666692</v>
      </c>
      <c r="Q48" s="124">
        <f t="shared" si="2"/>
        <v>6676699.4549500057</v>
      </c>
      <c r="S48" s="11"/>
    </row>
    <row r="49" spans="1:20" x14ac:dyDescent="0.4">
      <c r="A49" s="16"/>
      <c r="B49" s="121" t="str">
        <f>region</f>
        <v>Hanoi</v>
      </c>
      <c r="C49" s="120" t="str">
        <f>ab</f>
        <v>Budget</v>
      </c>
      <c r="D49" t="s">
        <v>27</v>
      </c>
      <c r="E49" s="124">
        <f t="shared" si="3"/>
        <v>376181.01543333288</v>
      </c>
      <c r="F49" s="124">
        <f t="shared" si="2"/>
        <v>176516.19888333289</v>
      </c>
      <c r="G49" s="124">
        <f t="shared" si="2"/>
        <v>91583.263083332917</v>
      </c>
      <c r="H49" s="124">
        <f t="shared" si="2"/>
        <v>303741.01398333284</v>
      </c>
      <c r="I49" s="124">
        <f t="shared" si="2"/>
        <v>250867.99068333284</v>
      </c>
      <c r="J49" s="124">
        <f t="shared" si="2"/>
        <v>63079.0396833329</v>
      </c>
      <c r="K49" s="124">
        <f t="shared" si="2"/>
        <v>106715.3998833329</v>
      </c>
      <c r="L49" s="124">
        <f t="shared" si="2"/>
        <v>116939.11488333298</v>
      </c>
      <c r="M49" s="124">
        <f t="shared" si="2"/>
        <v>165323.75488333299</v>
      </c>
      <c r="N49" s="124">
        <f t="shared" si="2"/>
        <v>227469.52488333295</v>
      </c>
      <c r="O49" s="124">
        <f t="shared" si="2"/>
        <v>72358.559883332928</v>
      </c>
      <c r="P49" s="124">
        <f t="shared" si="2"/>
        <v>73361.474883332965</v>
      </c>
      <c r="Q49" s="124">
        <f t="shared" si="2"/>
        <v>2024136.351049995</v>
      </c>
      <c r="S49" s="10"/>
    </row>
    <row r="50" spans="1:20" x14ac:dyDescent="0.4">
      <c r="A50" s="16"/>
      <c r="S50" s="10"/>
      <c r="T50" s="8"/>
    </row>
    <row r="51" spans="1:20" x14ac:dyDescent="0.4">
      <c r="A51" s="16"/>
      <c r="S51" s="10"/>
    </row>
    <row r="52" spans="1:20" x14ac:dyDescent="0.4">
      <c r="A52" s="16"/>
    </row>
    <row r="53" spans="1:20" s="16" customFormat="1" x14ac:dyDescent="0.4">
      <c r="C53" s="14"/>
      <c r="D53"/>
      <c r="E53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S53" s="19"/>
    </row>
    <row r="54" spans="1:20" s="16" customFormat="1" x14ac:dyDescent="0.4">
      <c r="A54" s="20" t="s">
        <v>32</v>
      </c>
      <c r="B54" s="30" t="s">
        <v>39</v>
      </c>
      <c r="C54" s="14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S54" s="19"/>
    </row>
    <row r="55" spans="1:20" x14ac:dyDescent="0.4">
      <c r="B55" s="32" t="s">
        <v>52</v>
      </c>
      <c r="C55" s="7" t="s">
        <v>28</v>
      </c>
      <c r="D55" s="105" t="s">
        <v>14</v>
      </c>
      <c r="E55" s="3" t="s">
        <v>21</v>
      </c>
      <c r="F55" s="3" t="s">
        <v>22</v>
      </c>
      <c r="G55" s="3" t="s">
        <v>23</v>
      </c>
      <c r="H55" s="3" t="s">
        <v>24</v>
      </c>
      <c r="I55" s="3" t="s">
        <v>25</v>
      </c>
      <c r="J55" s="3" t="s">
        <v>26</v>
      </c>
      <c r="K55" s="3" t="s">
        <v>15</v>
      </c>
      <c r="L55" s="3" t="s">
        <v>16</v>
      </c>
      <c r="M55" s="3" t="s">
        <v>17</v>
      </c>
      <c r="N55" s="3" t="s">
        <v>18</v>
      </c>
      <c r="O55" s="3" t="s">
        <v>19</v>
      </c>
      <c r="P55" s="4" t="s">
        <v>20</v>
      </c>
      <c r="Q55" s="5" t="s">
        <v>13</v>
      </c>
    </row>
    <row r="56" spans="1:20" x14ac:dyDescent="0.4">
      <c r="A56" s="16"/>
      <c r="B56" s="125" t="str">
        <f t="shared" ref="B56:B61" si="4">region</f>
        <v>Hanoi</v>
      </c>
      <c r="C56" s="114" t="s">
        <v>1</v>
      </c>
      <c r="D56" s="114" t="s">
        <v>48</v>
      </c>
      <c r="E56" s="126">
        <f>E58/E60</f>
        <v>0.61679968750000003</v>
      </c>
      <c r="F56" s="126">
        <f t="shared" ref="F56:Q56" si="5">F58/F60</f>
        <v>0.46055553097345131</v>
      </c>
      <c r="G56" s="126">
        <f t="shared" si="5"/>
        <v>0.11890080618749516</v>
      </c>
      <c r="H56" s="126">
        <f t="shared" si="5"/>
        <v>0.57069947058823522</v>
      </c>
      <c r="I56" s="126">
        <f t="shared" si="5"/>
        <v>0.55491550000000001</v>
      </c>
      <c r="J56" s="126">
        <f t="shared" si="5"/>
        <v>0.40927000000000002</v>
      </c>
      <c r="K56" s="126">
        <f t="shared" si="5"/>
        <v>0.23860000000000009</v>
      </c>
      <c r="L56" s="126">
        <f t="shared" si="5"/>
        <v>8.6319999999999869E-2</v>
      </c>
      <c r="M56" s="126">
        <f t="shared" si="5"/>
        <v>0.21430000000000007</v>
      </c>
      <c r="N56" s="126">
        <f t="shared" si="5"/>
        <v>0.27100000000000002</v>
      </c>
      <c r="O56" s="126">
        <f t="shared" si="5"/>
        <v>0.23860000000000006</v>
      </c>
      <c r="P56" s="126">
        <f t="shared" si="5"/>
        <v>0.25470999999999994</v>
      </c>
      <c r="Q56" s="126" t="e">
        <f t="shared" si="5"/>
        <v>#DIV/0!</v>
      </c>
    </row>
    <row r="57" spans="1:20" x14ac:dyDescent="0.4">
      <c r="A57" s="16"/>
      <c r="B57" s="125" t="str">
        <f t="shared" si="4"/>
        <v>Hanoi</v>
      </c>
      <c r="C57" s="14" t="s">
        <v>11</v>
      </c>
      <c r="D57" s="114" t="s">
        <v>48</v>
      </c>
      <c r="E57" s="126">
        <f t="shared" ref="E57:Q57" si="6">E59/E61</f>
        <v>0.48314990104987898</v>
      </c>
      <c r="F57" s="126">
        <f t="shared" si="6"/>
        <v>0.22163797395502968</v>
      </c>
      <c r="G57" s="126">
        <f t="shared" si="6"/>
        <v>0.13123761863769753</v>
      </c>
      <c r="H57" s="126">
        <f t="shared" si="6"/>
        <v>0.48064250422063337</v>
      </c>
      <c r="I57" s="126">
        <f t="shared" si="6"/>
        <v>0.32510399171252635</v>
      </c>
      <c r="J57" s="126">
        <f t="shared" si="6"/>
        <v>8.1795201825773614E-2</v>
      </c>
      <c r="K57" s="126">
        <f t="shared" si="6"/>
        <v>0.15350769101121781</v>
      </c>
      <c r="L57" s="126">
        <f t="shared" si="6"/>
        <v>0.16591966056918364</v>
      </c>
      <c r="M57" s="126">
        <f t="shared" si="6"/>
        <v>0.20921043442237425</v>
      </c>
      <c r="N57" s="126">
        <f t="shared" si="6"/>
        <v>0.3059573435408095</v>
      </c>
      <c r="O57" s="126">
        <f t="shared" si="6"/>
        <v>0.11252479005503176</v>
      </c>
      <c r="P57" s="126">
        <f t="shared" si="6"/>
        <v>0.10844653008138201</v>
      </c>
      <c r="Q57" s="126" t="e">
        <f t="shared" si="6"/>
        <v>#DIV/0!</v>
      </c>
    </row>
    <row r="58" spans="1:20" x14ac:dyDescent="0.4">
      <c r="A58" s="16"/>
      <c r="B58" s="125" t="str">
        <f t="shared" si="4"/>
        <v>Hanoi</v>
      </c>
      <c r="C58" s="114" t="s">
        <v>1</v>
      </c>
      <c r="D58" t="s">
        <v>27</v>
      </c>
      <c r="E58" s="124">
        <f t="shared" ref="E58:P61" si="7">SUMIFS(E$2:E$26,$B$2:$B$26,$B58,$C$2:$C$26,$C58,$D$2:$D$26,$D58)</f>
        <v>513206.94638500013</v>
      </c>
      <c r="F58" s="124">
        <f t="shared" si="7"/>
        <v>402186.56519999995</v>
      </c>
      <c r="G58" s="124">
        <f t="shared" si="7"/>
        <v>58233.096640000003</v>
      </c>
      <c r="H58" s="124">
        <f t="shared" si="7"/>
        <v>354798.15386999998</v>
      </c>
      <c r="I58" s="124">
        <f t="shared" si="7"/>
        <v>500822.33705999999</v>
      </c>
      <c r="J58" s="124">
        <f t="shared" si="7"/>
        <v>369148.44335999992</v>
      </c>
      <c r="K58" s="124">
        <f t="shared" si="7"/>
        <v>177255.94000000006</v>
      </c>
      <c r="L58" s="124">
        <f t="shared" si="7"/>
        <v>66708.095999999903</v>
      </c>
      <c r="M58" s="124">
        <f t="shared" si="7"/>
        <v>166596.82000000007</v>
      </c>
      <c r="N58" s="124">
        <f t="shared" si="7"/>
        <v>198209.40000000002</v>
      </c>
      <c r="O58" s="124">
        <f t="shared" si="7"/>
        <v>179451.06000000006</v>
      </c>
      <c r="P58" s="124">
        <f t="shared" si="7"/>
        <v>201526.55199999991</v>
      </c>
      <c r="Q58" s="31"/>
    </row>
    <row r="59" spans="1:20" x14ac:dyDescent="0.4">
      <c r="A59" s="16"/>
      <c r="B59" s="125" t="str">
        <f t="shared" si="4"/>
        <v>Hanoi</v>
      </c>
      <c r="C59" s="14" t="s">
        <v>11</v>
      </c>
      <c r="D59" t="s">
        <v>27</v>
      </c>
      <c r="E59" s="124">
        <f t="shared" si="7"/>
        <v>376181.01543333288</v>
      </c>
      <c r="F59" s="124">
        <f t="shared" si="7"/>
        <v>176516.19888333289</v>
      </c>
      <c r="G59" s="124">
        <f t="shared" si="7"/>
        <v>91583.263083332917</v>
      </c>
      <c r="H59" s="124">
        <f t="shared" si="7"/>
        <v>303741.01398333284</v>
      </c>
      <c r="I59" s="124">
        <f t="shared" si="7"/>
        <v>250867.99068333284</v>
      </c>
      <c r="J59" s="124">
        <f t="shared" si="7"/>
        <v>63079.0396833329</v>
      </c>
      <c r="K59" s="124">
        <f t="shared" si="7"/>
        <v>106715.3998833329</v>
      </c>
      <c r="L59" s="124">
        <f t="shared" si="7"/>
        <v>116939.11488333298</v>
      </c>
      <c r="M59" s="124">
        <f t="shared" si="7"/>
        <v>165323.75488333299</v>
      </c>
      <c r="N59" s="124">
        <f t="shared" si="7"/>
        <v>227469.52488333295</v>
      </c>
      <c r="O59" s="124">
        <f t="shared" si="7"/>
        <v>72358.559883332928</v>
      </c>
      <c r="P59" s="124">
        <f t="shared" si="7"/>
        <v>73361.474883332965</v>
      </c>
      <c r="Q59" s="31"/>
    </row>
    <row r="60" spans="1:20" x14ac:dyDescent="0.4">
      <c r="A60" s="16"/>
      <c r="B60" s="125" t="str">
        <f t="shared" si="4"/>
        <v>Hanoi</v>
      </c>
      <c r="C60" s="114" t="s">
        <v>1</v>
      </c>
      <c r="D60" s="16" t="s">
        <v>0</v>
      </c>
      <c r="E60" s="124">
        <f t="shared" si="7"/>
        <v>832048.00000000012</v>
      </c>
      <c r="F60" s="124">
        <f t="shared" si="7"/>
        <v>873263.99999999988</v>
      </c>
      <c r="G60" s="124">
        <f t="shared" si="7"/>
        <v>489762</v>
      </c>
      <c r="H60" s="124">
        <f t="shared" si="7"/>
        <v>621690</v>
      </c>
      <c r="I60" s="124">
        <f t="shared" si="7"/>
        <v>902520</v>
      </c>
      <c r="J60" s="124">
        <f t="shared" si="7"/>
        <v>901967.99999999977</v>
      </c>
      <c r="K60" s="124">
        <f t="shared" si="7"/>
        <v>742900</v>
      </c>
      <c r="L60" s="124">
        <f t="shared" si="7"/>
        <v>772800</v>
      </c>
      <c r="M60" s="124">
        <f t="shared" si="7"/>
        <v>777400</v>
      </c>
      <c r="N60" s="124">
        <f t="shared" si="7"/>
        <v>731400</v>
      </c>
      <c r="O60" s="124">
        <f t="shared" si="7"/>
        <v>752100</v>
      </c>
      <c r="P60" s="124">
        <f t="shared" si="7"/>
        <v>791199.99999999988</v>
      </c>
    </row>
    <row r="61" spans="1:20" x14ac:dyDescent="0.4">
      <c r="A61" s="16"/>
      <c r="B61" s="125" t="str">
        <f t="shared" si="4"/>
        <v>Hanoi</v>
      </c>
      <c r="C61" s="14" t="s">
        <v>11</v>
      </c>
      <c r="D61" s="16" t="s">
        <v>0</v>
      </c>
      <c r="E61" s="124">
        <f t="shared" si="7"/>
        <v>778601.04</v>
      </c>
      <c r="F61" s="124">
        <f t="shared" si="7"/>
        <v>796416.76799999992</v>
      </c>
      <c r="G61" s="124">
        <f t="shared" si="7"/>
        <v>697843.07299999997</v>
      </c>
      <c r="H61" s="124">
        <f t="shared" si="7"/>
        <v>631947.88500000001</v>
      </c>
      <c r="I61" s="124">
        <f t="shared" si="7"/>
        <v>771654.6</v>
      </c>
      <c r="J61" s="124">
        <f t="shared" si="7"/>
        <v>771182.63999999978</v>
      </c>
      <c r="K61" s="124">
        <f t="shared" si="7"/>
        <v>695179.5</v>
      </c>
      <c r="L61" s="124">
        <f t="shared" si="7"/>
        <v>704793.59999999998</v>
      </c>
      <c r="M61" s="124">
        <f t="shared" si="7"/>
        <v>790227.10000000009</v>
      </c>
      <c r="N61" s="124">
        <f t="shared" si="7"/>
        <v>743468.10000000009</v>
      </c>
      <c r="O61" s="124">
        <f t="shared" si="7"/>
        <v>643045.5</v>
      </c>
      <c r="P61" s="124">
        <f t="shared" si="7"/>
        <v>676475.99999999988</v>
      </c>
    </row>
    <row r="62" spans="1:20" x14ac:dyDescent="0.4">
      <c r="A62" s="20" t="s">
        <v>33</v>
      </c>
      <c r="B62" s="30" t="s">
        <v>30</v>
      </c>
    </row>
    <row r="63" spans="1:20" x14ac:dyDescent="0.4">
      <c r="A63" s="16"/>
      <c r="B63" s="32" t="s">
        <v>52</v>
      </c>
      <c r="C63" s="7" t="s">
        <v>28</v>
      </c>
      <c r="D63" s="105" t="s">
        <v>14</v>
      </c>
      <c r="E63" s="3" t="s">
        <v>21</v>
      </c>
      <c r="F63" s="3" t="s">
        <v>22</v>
      </c>
      <c r="G63" s="3" t="s">
        <v>23</v>
      </c>
      <c r="H63" s="3" t="s">
        <v>24</v>
      </c>
      <c r="I63" s="3" t="s">
        <v>25</v>
      </c>
      <c r="J63" s="3" t="s">
        <v>26</v>
      </c>
      <c r="K63" s="3" t="s">
        <v>15</v>
      </c>
      <c r="L63" s="3" t="s">
        <v>16</v>
      </c>
      <c r="M63" s="3" t="s">
        <v>17</v>
      </c>
      <c r="N63" s="3" t="s">
        <v>18</v>
      </c>
      <c r="O63" s="3" t="s">
        <v>19</v>
      </c>
      <c r="P63" s="4" t="s">
        <v>20</v>
      </c>
      <c r="Q63" s="5" t="s">
        <v>13</v>
      </c>
    </row>
    <row r="64" spans="1:20" x14ac:dyDescent="0.4">
      <c r="A64" s="6"/>
      <c r="B64" s="20" t="s">
        <v>41</v>
      </c>
      <c r="C64" s="127" t="str">
        <f t="shared" ref="C64:C72" si="8">ab</f>
        <v>Budget</v>
      </c>
      <c r="D64" s="114" t="s">
        <v>48</v>
      </c>
      <c r="E64" s="128">
        <f>E67/E70</f>
        <v>0.48314990104987898</v>
      </c>
      <c r="F64" s="128">
        <f t="shared" ref="F64:Q64" si="9">F67/F70</f>
        <v>0.22163797395502968</v>
      </c>
      <c r="G64" s="128">
        <f t="shared" si="9"/>
        <v>0.13123761863769753</v>
      </c>
      <c r="H64" s="128">
        <f t="shared" si="9"/>
        <v>0.48064250422063337</v>
      </c>
      <c r="I64" s="128">
        <f t="shared" si="9"/>
        <v>0.32510399171252635</v>
      </c>
      <c r="J64" s="128">
        <f t="shared" si="9"/>
        <v>8.1795201825773614E-2</v>
      </c>
      <c r="K64" s="128">
        <f t="shared" si="9"/>
        <v>0.15350769101121781</v>
      </c>
      <c r="L64" s="128">
        <f t="shared" si="9"/>
        <v>0.16591966056918364</v>
      </c>
      <c r="M64" s="128">
        <f t="shared" si="9"/>
        <v>0.20921043442237425</v>
      </c>
      <c r="N64" s="128">
        <f t="shared" si="9"/>
        <v>0.3059573435408095</v>
      </c>
      <c r="O64" s="128">
        <f t="shared" si="9"/>
        <v>0.11252479005503176</v>
      </c>
      <c r="P64" s="128">
        <f t="shared" si="9"/>
        <v>0.10844653008138201</v>
      </c>
      <c r="Q64" s="128">
        <f t="shared" si="9"/>
        <v>0.23263700133890275</v>
      </c>
    </row>
    <row r="65" spans="1:19" x14ac:dyDescent="0.4">
      <c r="B65" s="33" t="s">
        <v>43</v>
      </c>
      <c r="C65" s="127" t="str">
        <f t="shared" si="8"/>
        <v>Budget</v>
      </c>
      <c r="D65" s="114" t="s">
        <v>48</v>
      </c>
      <c r="E65" s="128">
        <f t="shared" ref="E65:Q65" si="10">E68/E71</f>
        <v>0.25771598333279511</v>
      </c>
      <c r="F65" s="128">
        <f t="shared" si="10"/>
        <v>0.17141561667155028</v>
      </c>
      <c r="G65" s="128">
        <f t="shared" si="10"/>
        <v>0.26853168519132553</v>
      </c>
      <c r="H65" s="128">
        <f t="shared" si="10"/>
        <v>0.10387430569381803</v>
      </c>
      <c r="I65" s="128">
        <f t="shared" si="10"/>
        <v>0.14427289601601795</v>
      </c>
      <c r="J65" s="128">
        <f t="shared" si="10"/>
        <v>8.9524446134311361E-2</v>
      </c>
      <c r="K65" s="128">
        <f t="shared" si="10"/>
        <v>0.17246836170551691</v>
      </c>
      <c r="L65" s="128">
        <f t="shared" si="10"/>
        <v>9.8100288586414341E-2</v>
      </c>
      <c r="M65" s="128">
        <f t="shared" si="10"/>
        <v>9.7964788279330708E-2</v>
      </c>
      <c r="N65" s="128">
        <f t="shared" si="10"/>
        <v>4.4541575629075202E-2</v>
      </c>
      <c r="O65" s="128">
        <f t="shared" si="10"/>
        <v>8.0840502170809014E-2</v>
      </c>
      <c r="P65" s="128">
        <f t="shared" si="10"/>
        <v>0.11597054248744804</v>
      </c>
      <c r="Q65" s="128">
        <f t="shared" si="10"/>
        <v>0.1390541729995336</v>
      </c>
      <c r="S65" s="11"/>
    </row>
    <row r="66" spans="1:19" x14ac:dyDescent="0.4">
      <c r="B66" s="16" t="s">
        <v>42</v>
      </c>
      <c r="C66" s="127" t="str">
        <f t="shared" si="8"/>
        <v>Budget</v>
      </c>
      <c r="D66" s="114" t="s">
        <v>48</v>
      </c>
      <c r="E66" s="128">
        <f t="shared" ref="E66:Q66" si="11">E69/E72</f>
        <v>0.3519339962443771</v>
      </c>
      <c r="F66" s="128">
        <f t="shared" si="11"/>
        <v>0.39374869813587893</v>
      </c>
      <c r="G66" s="128">
        <f t="shared" si="11"/>
        <v>0.33963602270576959</v>
      </c>
      <c r="H66" s="128">
        <f t="shared" si="11"/>
        <v>0.48869377200687913</v>
      </c>
      <c r="I66" s="128">
        <f t="shared" si="11"/>
        <v>0.11014009191941608</v>
      </c>
      <c r="J66" s="128">
        <f t="shared" si="11"/>
        <v>0.2396338441563583</v>
      </c>
      <c r="K66" s="128">
        <f t="shared" si="11"/>
        <v>0.13719970342395973</v>
      </c>
      <c r="L66" s="128">
        <f t="shared" si="11"/>
        <v>6.3362984453682034E-2</v>
      </c>
      <c r="M66" s="128">
        <f t="shared" si="11"/>
        <v>0.17269887166669443</v>
      </c>
      <c r="N66" s="128">
        <f t="shared" si="11"/>
        <v>0.1675849667575911</v>
      </c>
      <c r="O66" s="128">
        <f t="shared" si="11"/>
        <v>0.13951325629680009</v>
      </c>
      <c r="P66" s="128">
        <f t="shared" si="11"/>
        <v>0.28362651661064076</v>
      </c>
      <c r="Q66" s="128">
        <f t="shared" si="11"/>
        <v>0.24547624740490856</v>
      </c>
      <c r="S66" s="21"/>
    </row>
    <row r="67" spans="1:19" x14ac:dyDescent="0.4">
      <c r="B67" s="20" t="s">
        <v>41</v>
      </c>
      <c r="C67" s="127" t="str">
        <f t="shared" si="8"/>
        <v>Budget</v>
      </c>
      <c r="D67" t="s">
        <v>27</v>
      </c>
      <c r="E67" s="124">
        <f t="shared" ref="E67:Q72" si="12">SUMIFS(E$2:E$26,$B$2:$B$26,$B67,$C$2:$C$26,$C67,$D$2:$D$26,$D67)</f>
        <v>376181.01543333288</v>
      </c>
      <c r="F67" s="124">
        <f t="shared" si="12"/>
        <v>176516.19888333289</v>
      </c>
      <c r="G67" s="124">
        <f t="shared" si="12"/>
        <v>91583.263083332917</v>
      </c>
      <c r="H67" s="124">
        <f t="shared" si="12"/>
        <v>303741.01398333284</v>
      </c>
      <c r="I67" s="124">
        <f t="shared" si="12"/>
        <v>250867.99068333284</v>
      </c>
      <c r="J67" s="124">
        <f t="shared" si="12"/>
        <v>63079.0396833329</v>
      </c>
      <c r="K67" s="124">
        <f t="shared" si="12"/>
        <v>106715.3998833329</v>
      </c>
      <c r="L67" s="124">
        <f t="shared" si="12"/>
        <v>116939.11488333298</v>
      </c>
      <c r="M67" s="124">
        <f t="shared" si="12"/>
        <v>165323.75488333299</v>
      </c>
      <c r="N67" s="124">
        <f t="shared" si="12"/>
        <v>227469.52488333295</v>
      </c>
      <c r="O67" s="124">
        <f t="shared" si="12"/>
        <v>72358.559883332928</v>
      </c>
      <c r="P67" s="124">
        <f t="shared" si="12"/>
        <v>73361.474883332965</v>
      </c>
      <c r="Q67" s="124">
        <f t="shared" si="12"/>
        <v>2024136.351049995</v>
      </c>
      <c r="S67" s="21"/>
    </row>
    <row r="68" spans="1:19" x14ac:dyDescent="0.4">
      <c r="B68" s="33" t="s">
        <v>43</v>
      </c>
      <c r="C68" s="127" t="str">
        <f t="shared" si="8"/>
        <v>Budget</v>
      </c>
      <c r="D68" t="s">
        <v>27</v>
      </c>
      <c r="E68" s="124">
        <f t="shared" si="12"/>
        <v>193917.65433333337</v>
      </c>
      <c r="F68" s="124">
        <f t="shared" si="12"/>
        <v>108449.26073333347</v>
      </c>
      <c r="G68" s="124">
        <f t="shared" si="12"/>
        <v>258827.03333333344</v>
      </c>
      <c r="H68" s="124">
        <f t="shared" si="12"/>
        <v>60259.302533333481</v>
      </c>
      <c r="I68" s="124">
        <f t="shared" si="12"/>
        <v>96156.581833333359</v>
      </c>
      <c r="J68" s="124">
        <f t="shared" si="12"/>
        <v>63643.300283333403</v>
      </c>
      <c r="K68" s="124">
        <f t="shared" si="12"/>
        <v>133786.93333333335</v>
      </c>
      <c r="L68" s="124">
        <f t="shared" si="12"/>
        <v>78563.243333333288</v>
      </c>
      <c r="M68" s="124">
        <f t="shared" si="12"/>
        <v>87429.973333333386</v>
      </c>
      <c r="N68" s="124">
        <f t="shared" si="12"/>
        <v>34452.463333333377</v>
      </c>
      <c r="O68" s="124">
        <f t="shared" si="12"/>
        <v>64500.583333333372</v>
      </c>
      <c r="P68" s="124">
        <f t="shared" si="12"/>
        <v>97050.528333333321</v>
      </c>
      <c r="Q68" s="124">
        <f t="shared" si="12"/>
        <v>1277036.8580500009</v>
      </c>
      <c r="S68" s="21"/>
    </row>
    <row r="69" spans="1:19" x14ac:dyDescent="0.4">
      <c r="B69" s="16" t="s">
        <v>42</v>
      </c>
      <c r="C69" s="127" t="str">
        <f t="shared" si="8"/>
        <v>Budget</v>
      </c>
      <c r="D69" t="s">
        <v>27</v>
      </c>
      <c r="E69" s="124">
        <f t="shared" si="12"/>
        <v>338687.69333333347</v>
      </c>
      <c r="F69" s="124">
        <f t="shared" si="12"/>
        <v>516784.20473333378</v>
      </c>
      <c r="G69" s="124">
        <f t="shared" si="12"/>
        <v>363839.83913333318</v>
      </c>
      <c r="H69" s="124">
        <f t="shared" si="12"/>
        <v>691613.53473333316</v>
      </c>
      <c r="I69" s="124">
        <f t="shared" si="12"/>
        <v>100570.3973333335</v>
      </c>
      <c r="J69" s="124">
        <f t="shared" si="12"/>
        <v>233918.39758333343</v>
      </c>
      <c r="K69" s="124">
        <f t="shared" si="12"/>
        <v>171474.93333333335</v>
      </c>
      <c r="L69" s="124">
        <f t="shared" si="12"/>
        <v>76295.553333333461</v>
      </c>
      <c r="M69" s="124">
        <f t="shared" si="12"/>
        <v>222898.89333333331</v>
      </c>
      <c r="N69" s="124">
        <f t="shared" si="12"/>
        <v>200992.44333333324</v>
      </c>
      <c r="O69" s="124">
        <f t="shared" si="12"/>
        <v>165443.41333333345</v>
      </c>
      <c r="P69" s="124">
        <f t="shared" si="12"/>
        <v>407149.72333333327</v>
      </c>
      <c r="Q69" s="124">
        <f t="shared" si="12"/>
        <v>3489669.026850001</v>
      </c>
      <c r="S69" s="21"/>
    </row>
    <row r="70" spans="1:19" x14ac:dyDescent="0.4">
      <c r="B70" s="20" t="s">
        <v>41</v>
      </c>
      <c r="C70" s="127" t="str">
        <f t="shared" si="8"/>
        <v>Budget</v>
      </c>
      <c r="D70" s="16" t="s">
        <v>0</v>
      </c>
      <c r="E70" s="124">
        <f t="shared" si="12"/>
        <v>778601.04</v>
      </c>
      <c r="F70" s="124">
        <f t="shared" si="12"/>
        <v>796416.76799999992</v>
      </c>
      <c r="G70" s="124">
        <f t="shared" si="12"/>
        <v>697843.07299999997</v>
      </c>
      <c r="H70" s="124">
        <f t="shared" si="12"/>
        <v>631947.88500000001</v>
      </c>
      <c r="I70" s="124">
        <f t="shared" si="12"/>
        <v>771654.6</v>
      </c>
      <c r="J70" s="124">
        <f t="shared" si="12"/>
        <v>771182.63999999978</v>
      </c>
      <c r="K70" s="124">
        <f t="shared" si="12"/>
        <v>695179.5</v>
      </c>
      <c r="L70" s="124">
        <f t="shared" si="12"/>
        <v>704793.59999999998</v>
      </c>
      <c r="M70" s="124">
        <f t="shared" si="12"/>
        <v>790227.10000000009</v>
      </c>
      <c r="N70" s="124">
        <f t="shared" si="12"/>
        <v>743468.10000000009</v>
      </c>
      <c r="O70" s="124">
        <f t="shared" si="12"/>
        <v>643045.5</v>
      </c>
      <c r="P70" s="124">
        <f t="shared" si="12"/>
        <v>676475.99999999988</v>
      </c>
      <c r="Q70" s="124">
        <f t="shared" si="12"/>
        <v>8700835.8059999999</v>
      </c>
      <c r="S70" s="21"/>
    </row>
    <row r="71" spans="1:19" x14ac:dyDescent="0.4">
      <c r="B71" s="33" t="s">
        <v>43</v>
      </c>
      <c r="C71" s="127" t="str">
        <f t="shared" si="8"/>
        <v>Budget</v>
      </c>
      <c r="D71" s="16" t="s">
        <v>0</v>
      </c>
      <c r="E71" s="124">
        <f t="shared" si="12"/>
        <v>752447.13899999997</v>
      </c>
      <c r="F71" s="124">
        <f t="shared" si="12"/>
        <v>632668.49800000002</v>
      </c>
      <c r="G71" s="124">
        <f t="shared" si="12"/>
        <v>963860.31</v>
      </c>
      <c r="H71" s="124">
        <f t="shared" si="12"/>
        <v>580117.5</v>
      </c>
      <c r="I71" s="124">
        <f t="shared" si="12"/>
        <v>666490.96600000001</v>
      </c>
      <c r="J71" s="124">
        <f t="shared" si="12"/>
        <v>710904.15</v>
      </c>
      <c r="K71" s="124">
        <f t="shared" si="12"/>
        <v>775718.7</v>
      </c>
      <c r="L71" s="124">
        <f t="shared" si="12"/>
        <v>800846.2</v>
      </c>
      <c r="M71" s="124">
        <f t="shared" si="12"/>
        <v>892463.25</v>
      </c>
      <c r="N71" s="124">
        <f t="shared" si="12"/>
        <v>773490</v>
      </c>
      <c r="O71" s="124">
        <f t="shared" si="12"/>
        <v>797874.6</v>
      </c>
      <c r="P71" s="124">
        <f t="shared" si="12"/>
        <v>836855</v>
      </c>
      <c r="Q71" s="124">
        <f t="shared" si="12"/>
        <v>9183736.313000001</v>
      </c>
      <c r="S71" s="10"/>
    </row>
    <row r="72" spans="1:19" s="16" customFormat="1" x14ac:dyDescent="0.4">
      <c r="B72" s="16" t="s">
        <v>42</v>
      </c>
      <c r="C72" s="127" t="str">
        <f t="shared" si="8"/>
        <v>Budget</v>
      </c>
      <c r="D72" s="16" t="s">
        <v>0</v>
      </c>
      <c r="E72" s="124">
        <f t="shared" si="12"/>
        <v>962361.4</v>
      </c>
      <c r="F72" s="124">
        <f t="shared" si="12"/>
        <v>1312472.1610000003</v>
      </c>
      <c r="G72" s="124">
        <f t="shared" si="12"/>
        <v>1071263.9849999999</v>
      </c>
      <c r="H72" s="124">
        <f t="shared" si="12"/>
        <v>1415228.8699999999</v>
      </c>
      <c r="I72" s="124">
        <f t="shared" si="12"/>
        <v>913113.43200000015</v>
      </c>
      <c r="J72" s="124">
        <f t="shared" si="12"/>
        <v>976149.25140000007</v>
      </c>
      <c r="K72" s="124">
        <f t="shared" si="12"/>
        <v>1249820</v>
      </c>
      <c r="L72" s="124">
        <f t="shared" si="12"/>
        <v>1204102.9000000001</v>
      </c>
      <c r="M72" s="124">
        <f t="shared" si="12"/>
        <v>1290679.5</v>
      </c>
      <c r="N72" s="124">
        <f t="shared" si="12"/>
        <v>1199346.5</v>
      </c>
      <c r="O72" s="124">
        <f t="shared" si="12"/>
        <v>1185861.6000000001</v>
      </c>
      <c r="P72" s="124">
        <f t="shared" si="12"/>
        <v>1435513.605</v>
      </c>
      <c r="Q72" s="124">
        <f t="shared" si="12"/>
        <v>14215913.204400001</v>
      </c>
      <c r="S72" s="19"/>
    </row>
    <row r="73" spans="1:19" x14ac:dyDescent="0.4">
      <c r="A73" s="20" t="s">
        <v>31</v>
      </c>
      <c r="B73" s="30" t="s">
        <v>38</v>
      </c>
    </row>
    <row r="74" spans="1:19" s="16" customFormat="1" x14ac:dyDescent="0.4">
      <c r="B74" s="32" t="s">
        <v>52</v>
      </c>
      <c r="C74" s="7" t="s">
        <v>28</v>
      </c>
      <c r="D74" s="7" t="s">
        <v>0</v>
      </c>
      <c r="E74" s="7" t="s">
        <v>12</v>
      </c>
      <c r="F74" s="7" t="s">
        <v>27</v>
      </c>
    </row>
    <row r="75" spans="1:19" s="16" customFormat="1" x14ac:dyDescent="0.4">
      <c r="B75" s="20" t="s">
        <v>41</v>
      </c>
      <c r="C75" s="127" t="str">
        <f>ab</f>
        <v>Budget</v>
      </c>
      <c r="D75" s="129">
        <f>SUMIFS($Q$2:$Q$26,$B$2:$B$26,$B75,$C$2:$C$26,$C75,$D$2:$D$26,D$74)</f>
        <v>8700835.8059999999</v>
      </c>
      <c r="E75" s="129">
        <f t="shared" ref="E75:F77" si="13">SUMIFS($Q$2:$Q$26,$B$2:$B$26,$B75,$C$2:$C$26,$C75,$D$2:$D$26,E$74)</f>
        <v>6676699.4549500057</v>
      </c>
      <c r="F75" s="129">
        <f t="shared" si="13"/>
        <v>2024136.351049995</v>
      </c>
    </row>
    <row r="76" spans="1:19" s="16" customFormat="1" x14ac:dyDescent="0.4">
      <c r="B76" s="33" t="s">
        <v>43</v>
      </c>
      <c r="C76" s="127" t="str">
        <f>ab</f>
        <v>Budget</v>
      </c>
      <c r="D76" s="129">
        <f t="shared" ref="D76:D77" si="14">SUMIFS($Q$2:$Q$26,$B$2:$B$26,$B76,$C$2:$C$26,$C76,$D$2:$D$26,D$74)</f>
        <v>9183736.313000001</v>
      </c>
      <c r="E76" s="129">
        <f t="shared" si="13"/>
        <v>7906699.4549499992</v>
      </c>
      <c r="F76" s="129">
        <f t="shared" si="13"/>
        <v>1277036.8580500009</v>
      </c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S76" s="117"/>
    </row>
    <row r="77" spans="1:19" s="16" customFormat="1" x14ac:dyDescent="0.4">
      <c r="B77" s="16" t="s">
        <v>42</v>
      </c>
      <c r="C77" s="127" t="str">
        <f>ab</f>
        <v>Budget</v>
      </c>
      <c r="D77" s="129">
        <f t="shared" si="14"/>
        <v>14215913.204400001</v>
      </c>
      <c r="E77" s="129">
        <f t="shared" si="13"/>
        <v>10726244.177549999</v>
      </c>
      <c r="F77" s="129">
        <f t="shared" si="13"/>
        <v>3489669.026850001</v>
      </c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S77" s="118"/>
    </row>
    <row r="78" spans="1:19" s="16" customFormat="1" x14ac:dyDescent="0.4"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S78" s="119"/>
    </row>
    <row r="79" spans="1:19" s="16" customFormat="1" x14ac:dyDescent="0.4">
      <c r="C79" s="14"/>
      <c r="D79" s="14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S79" s="119"/>
    </row>
    <row r="80" spans="1:19" s="16" customFormat="1" x14ac:dyDescent="0.4">
      <c r="C80" s="14"/>
      <c r="D80" s="14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S80" s="19"/>
    </row>
    <row r="81" spans="1:10" s="16" customFormat="1" x14ac:dyDescent="0.4">
      <c r="E81" s="116"/>
      <c r="F81" s="116"/>
      <c r="G81" s="116"/>
    </row>
    <row r="82" spans="1:10" x14ac:dyDescent="0.4">
      <c r="A82" s="20" t="s">
        <v>37</v>
      </c>
      <c r="B82" s="20" t="s">
        <v>40</v>
      </c>
      <c r="C82" s="16"/>
    </row>
    <row r="83" spans="1:10" x14ac:dyDescent="0.4">
      <c r="I83" s="152" t="s">
        <v>12</v>
      </c>
      <c r="J83" s="152"/>
    </row>
    <row r="84" spans="1:10" x14ac:dyDescent="0.4">
      <c r="B84" s="47"/>
      <c r="C84" s="47"/>
      <c r="D84" s="152" t="s">
        <v>12</v>
      </c>
      <c r="E84" s="152"/>
      <c r="G84" s="27" t="s">
        <v>52</v>
      </c>
      <c r="H84" s="155" t="s">
        <v>14</v>
      </c>
      <c r="I84" s="24" t="s">
        <v>1</v>
      </c>
      <c r="J84" s="25" t="s">
        <v>11</v>
      </c>
    </row>
    <row r="85" spans="1:10" x14ac:dyDescent="0.4">
      <c r="B85" s="27" t="s">
        <v>52</v>
      </c>
      <c r="C85" s="155" t="s">
        <v>14</v>
      </c>
      <c r="D85" s="153" t="s">
        <v>1</v>
      </c>
      <c r="E85" s="154" t="s">
        <v>11</v>
      </c>
      <c r="G85" s="130" t="str">
        <f t="shared" ref="G85:G93" si="15">region</f>
        <v>Hanoi</v>
      </c>
      <c r="H85" s="87" t="s">
        <v>7</v>
      </c>
      <c r="I85" s="132">
        <f t="shared" ref="I85:I93" si="16">SUMIFS(D$84:D$120,$B$84:$B$120,$G85,$C$84:$C$120,$H85)</f>
        <v>363821.58973603108</v>
      </c>
      <c r="J85" s="133">
        <f t="shared" ref="J85:J93" si="17">SUMIFS(E$84:E$120,$B$84:$B$120,$G85,$C$84:$C$120,$H85)</f>
        <v>383609.34569668199</v>
      </c>
    </row>
    <row r="86" spans="1:10" x14ac:dyDescent="0.4">
      <c r="B86" s="86" t="s">
        <v>42</v>
      </c>
      <c r="C86" s="87" t="s">
        <v>9</v>
      </c>
      <c r="D86" s="88">
        <v>916594.50464125758</v>
      </c>
      <c r="E86" s="89">
        <v>956931.18318652001</v>
      </c>
      <c r="G86" s="130" t="str">
        <f t="shared" si="15"/>
        <v>Hanoi</v>
      </c>
      <c r="H86" s="87" t="s">
        <v>2</v>
      </c>
      <c r="I86" s="132">
        <f t="shared" si="16"/>
        <v>449537.62095840246</v>
      </c>
      <c r="J86" s="133">
        <f t="shared" si="17"/>
        <v>497547.26181992103</v>
      </c>
    </row>
    <row r="87" spans="1:10" x14ac:dyDescent="0.4">
      <c r="B87" s="86" t="s">
        <v>42</v>
      </c>
      <c r="C87" s="87" t="s">
        <v>8</v>
      </c>
      <c r="D87" s="88">
        <v>1065373.123684647</v>
      </c>
      <c r="E87" s="89">
        <v>1128488.79242609</v>
      </c>
      <c r="G87" s="130" t="str">
        <f t="shared" si="15"/>
        <v>Hanoi</v>
      </c>
      <c r="H87" s="87" t="s">
        <v>9</v>
      </c>
      <c r="I87" s="132">
        <f t="shared" si="16"/>
        <v>503039.03478808375</v>
      </c>
      <c r="J87" s="133">
        <f t="shared" si="17"/>
        <v>568663.94226428994</v>
      </c>
    </row>
    <row r="88" spans="1:10" x14ac:dyDescent="0.4">
      <c r="B88" s="86" t="s">
        <v>42</v>
      </c>
      <c r="C88" s="87" t="s">
        <v>7</v>
      </c>
      <c r="D88" s="88">
        <v>639332.82174265652</v>
      </c>
      <c r="E88" s="89">
        <v>637218.90357494005</v>
      </c>
      <c r="G88" s="130" t="str">
        <f t="shared" si="15"/>
        <v>Hanoi</v>
      </c>
      <c r="H88" s="87" t="s">
        <v>5</v>
      </c>
      <c r="I88" s="132">
        <f t="shared" si="16"/>
        <v>590381.76447235362</v>
      </c>
      <c r="J88" s="133">
        <f t="shared" si="17"/>
        <v>484764.145071437</v>
      </c>
    </row>
    <row r="89" spans="1:10" x14ac:dyDescent="0.4">
      <c r="B89" s="86" t="s">
        <v>42</v>
      </c>
      <c r="C89" s="87" t="s">
        <v>6</v>
      </c>
      <c r="D89" s="88">
        <v>1024617.2872496283</v>
      </c>
      <c r="E89" s="89">
        <v>1081492.9679836601</v>
      </c>
      <c r="G89" s="130" t="str">
        <f t="shared" si="15"/>
        <v>Hanoi</v>
      </c>
      <c r="H89" s="87" t="s">
        <v>6</v>
      </c>
      <c r="I89" s="132">
        <f t="shared" si="16"/>
        <v>576803.32320082514</v>
      </c>
      <c r="J89" s="133">
        <f t="shared" si="17"/>
        <v>666715.02076391899</v>
      </c>
    </row>
    <row r="90" spans="1:10" x14ac:dyDescent="0.4">
      <c r="B90" s="86" t="s">
        <v>42</v>
      </c>
      <c r="C90" s="87" t="s">
        <v>5</v>
      </c>
      <c r="D90" s="88">
        <v>890825.47764244641</v>
      </c>
      <c r="E90" s="89">
        <v>1127216.7477873301</v>
      </c>
      <c r="G90" s="130" t="str">
        <f t="shared" si="15"/>
        <v>Hanoi</v>
      </c>
      <c r="H90" s="87" t="s">
        <v>8</v>
      </c>
      <c r="I90" s="132">
        <f t="shared" si="16"/>
        <v>599746.75733520999</v>
      </c>
      <c r="J90" s="133">
        <f t="shared" si="17"/>
        <v>697212.54890076001</v>
      </c>
    </row>
    <row r="91" spans="1:10" x14ac:dyDescent="0.4">
      <c r="B91" s="86" t="s">
        <v>42</v>
      </c>
      <c r="C91" s="87" t="s">
        <v>4</v>
      </c>
      <c r="D91" s="88">
        <v>1001403.960586712</v>
      </c>
      <c r="E91" s="89">
        <v>954725.52753830003</v>
      </c>
      <c r="G91" s="130" t="str">
        <f t="shared" si="15"/>
        <v>Hanoi</v>
      </c>
      <c r="H91" s="87" t="s">
        <v>4</v>
      </c>
      <c r="I91" s="132">
        <f t="shared" si="16"/>
        <v>781713.43877614976</v>
      </c>
      <c r="J91" s="133">
        <f t="shared" si="17"/>
        <v>839091.50889897998</v>
      </c>
    </row>
    <row r="92" spans="1:10" x14ac:dyDescent="0.4">
      <c r="B92" s="86" t="s">
        <v>42</v>
      </c>
      <c r="C92" s="87" t="s">
        <v>3</v>
      </c>
      <c r="D92" s="88">
        <v>1117201.4869737749</v>
      </c>
      <c r="E92" s="89">
        <v>1188252.4207878399</v>
      </c>
      <c r="G92" s="130" t="str">
        <f t="shared" si="15"/>
        <v>Hanoi</v>
      </c>
      <c r="H92" s="87" t="s">
        <v>3</v>
      </c>
      <c r="I92" s="132">
        <f t="shared" si="16"/>
        <v>728720.99194988445</v>
      </c>
      <c r="J92" s="133">
        <f t="shared" si="17"/>
        <v>868651.37214098498</v>
      </c>
    </row>
    <row r="93" spans="1:10" x14ac:dyDescent="0.4">
      <c r="B93" s="91" t="s">
        <v>42</v>
      </c>
      <c r="C93" s="92" t="s">
        <v>2</v>
      </c>
      <c r="D93" s="93">
        <v>807320.78255769133</v>
      </c>
      <c r="E93" s="94">
        <v>830926.93181019195</v>
      </c>
      <c r="G93" s="131" t="str">
        <f t="shared" si="15"/>
        <v>Hanoi</v>
      </c>
      <c r="H93" s="92" t="s">
        <v>10</v>
      </c>
      <c r="I93" s="134">
        <f t="shared" si="16"/>
        <v>1407144.0682680598</v>
      </c>
      <c r="J93" s="135">
        <f t="shared" si="17"/>
        <v>1670444.3093930299</v>
      </c>
    </row>
    <row r="94" spans="1:10" x14ac:dyDescent="0.4">
      <c r="B94" s="86" t="s">
        <v>43</v>
      </c>
      <c r="C94" s="87" t="s">
        <v>10</v>
      </c>
      <c r="D94" s="88">
        <v>1848872.1739837017</v>
      </c>
      <c r="E94" s="89">
        <v>1965837.993149074</v>
      </c>
    </row>
    <row r="95" spans="1:10" x14ac:dyDescent="0.4">
      <c r="B95" s="86" t="s">
        <v>43</v>
      </c>
      <c r="C95" s="87" t="s">
        <v>9</v>
      </c>
      <c r="D95" s="88">
        <v>668059.14553277765</v>
      </c>
      <c r="E95" s="89">
        <v>610322.79485786497</v>
      </c>
    </row>
    <row r="96" spans="1:10" x14ac:dyDescent="0.4">
      <c r="B96" s="86" t="s">
        <v>43</v>
      </c>
      <c r="C96" s="87" t="s">
        <v>8</v>
      </c>
      <c r="D96" s="88">
        <v>813996.78913255781</v>
      </c>
      <c r="E96" s="89">
        <v>765492.94045043201</v>
      </c>
    </row>
    <row r="97" spans="2:5" x14ac:dyDescent="0.4">
      <c r="B97" s="86" t="s">
        <v>43</v>
      </c>
      <c r="C97" s="87" t="s">
        <v>7</v>
      </c>
      <c r="D97" s="88">
        <v>483171.92813440744</v>
      </c>
      <c r="E97" s="89">
        <v>543738.99554295803</v>
      </c>
    </row>
    <row r="98" spans="2:5" x14ac:dyDescent="0.4">
      <c r="B98" s="86" t="s">
        <v>43</v>
      </c>
      <c r="C98" s="87" t="s">
        <v>6</v>
      </c>
      <c r="D98" s="88">
        <v>765839.42556199629</v>
      </c>
      <c r="E98" s="89">
        <v>714288.98146990302</v>
      </c>
    </row>
    <row r="99" spans="2:5" x14ac:dyDescent="0.4">
      <c r="B99" s="86" t="s">
        <v>43</v>
      </c>
      <c r="C99" s="87" t="s">
        <v>5</v>
      </c>
      <c r="D99" s="88">
        <v>665837.78995377885</v>
      </c>
      <c r="E99" s="89">
        <v>807960.90891737898</v>
      </c>
    </row>
    <row r="100" spans="2:5" x14ac:dyDescent="0.4">
      <c r="B100" s="86" t="s">
        <v>43</v>
      </c>
      <c r="C100" s="87" t="s">
        <v>4</v>
      </c>
      <c r="D100" s="88">
        <v>781754.62559445668</v>
      </c>
      <c r="E100" s="89">
        <v>861211.03012887901</v>
      </c>
    </row>
    <row r="101" spans="2:5" x14ac:dyDescent="0.4">
      <c r="B101" s="86" t="s">
        <v>43</v>
      </c>
      <c r="C101" s="87" t="s">
        <v>3</v>
      </c>
      <c r="D101" s="88">
        <v>844318.29278589052</v>
      </c>
      <c r="E101" s="89">
        <v>867732.68353807705</v>
      </c>
    </row>
    <row r="102" spans="2:5" x14ac:dyDescent="0.4">
      <c r="B102" s="91" t="s">
        <v>43</v>
      </c>
      <c r="C102" s="92" t="s">
        <v>2</v>
      </c>
      <c r="D102" s="93">
        <v>630241.92128543323</v>
      </c>
      <c r="E102" s="94">
        <v>770113.12689543201</v>
      </c>
    </row>
    <row r="103" spans="2:5" x14ac:dyDescent="0.4">
      <c r="B103" s="86" t="s">
        <v>41</v>
      </c>
      <c r="C103" s="87" t="s">
        <v>10</v>
      </c>
      <c r="D103" s="88">
        <v>1407144.0682680598</v>
      </c>
      <c r="E103" s="89">
        <v>1670444.3093930299</v>
      </c>
    </row>
    <row r="104" spans="2:5" x14ac:dyDescent="0.4">
      <c r="B104" s="86" t="s">
        <v>41</v>
      </c>
      <c r="C104" s="87" t="s">
        <v>9</v>
      </c>
      <c r="D104" s="88">
        <v>503039.03478808375</v>
      </c>
      <c r="E104" s="89">
        <v>568663.94226428994</v>
      </c>
    </row>
    <row r="105" spans="2:5" x14ac:dyDescent="0.4">
      <c r="B105" s="86" t="s">
        <v>41</v>
      </c>
      <c r="C105" s="87" t="s">
        <v>8</v>
      </c>
      <c r="D105" s="88">
        <v>599746.75733520999</v>
      </c>
      <c r="E105" s="89">
        <v>697212.54890076001</v>
      </c>
    </row>
    <row r="106" spans="2:5" x14ac:dyDescent="0.4">
      <c r="B106" s="86" t="s">
        <v>41</v>
      </c>
      <c r="C106" s="87" t="s">
        <v>7</v>
      </c>
      <c r="D106" s="88">
        <v>363821.58973603108</v>
      </c>
      <c r="E106" s="89">
        <v>383609.34569668199</v>
      </c>
    </row>
    <row r="107" spans="2:5" x14ac:dyDescent="0.4">
      <c r="B107" s="86" t="s">
        <v>41</v>
      </c>
      <c r="C107" s="87" t="s">
        <v>6</v>
      </c>
      <c r="D107" s="88">
        <v>576803.32320082514</v>
      </c>
      <c r="E107" s="89">
        <v>666715.02076391899</v>
      </c>
    </row>
    <row r="108" spans="2:5" x14ac:dyDescent="0.4">
      <c r="B108" s="86" t="s">
        <v>41</v>
      </c>
      <c r="C108" s="87" t="s">
        <v>5</v>
      </c>
      <c r="D108" s="88">
        <v>590381.76447235362</v>
      </c>
      <c r="E108" s="89">
        <v>484764.145071437</v>
      </c>
    </row>
    <row r="109" spans="2:5" x14ac:dyDescent="0.4">
      <c r="B109" s="86" t="s">
        <v>41</v>
      </c>
      <c r="C109" s="87" t="s">
        <v>4</v>
      </c>
      <c r="D109" s="88">
        <v>781713.43877614976</v>
      </c>
      <c r="E109" s="89">
        <v>839091.50889897998</v>
      </c>
    </row>
    <row r="110" spans="2:5" x14ac:dyDescent="0.4">
      <c r="B110" s="86" t="s">
        <v>41</v>
      </c>
      <c r="C110" s="87" t="s">
        <v>3</v>
      </c>
      <c r="D110" s="88">
        <v>728720.99194988445</v>
      </c>
      <c r="E110" s="89">
        <v>868651.37214098498</v>
      </c>
    </row>
    <row r="111" spans="2:5" x14ac:dyDescent="0.4">
      <c r="B111" s="91" t="s">
        <v>41</v>
      </c>
      <c r="C111" s="92" t="s">
        <v>2</v>
      </c>
      <c r="D111" s="93">
        <v>449537.62095840246</v>
      </c>
      <c r="E111" s="94">
        <v>497547.26181992103</v>
      </c>
    </row>
    <row r="112" spans="2:5" x14ac:dyDescent="0.4">
      <c r="B112" s="96" t="s">
        <v>13</v>
      </c>
      <c r="C112" s="97" t="s">
        <v>10</v>
      </c>
      <c r="D112" s="98">
        <v>5702442.8560629468</v>
      </c>
      <c r="E112" s="99">
        <v>6457273.0049972301</v>
      </c>
    </row>
    <row r="113" spans="2:12" x14ac:dyDescent="0.4">
      <c r="B113" s="96" t="s">
        <v>13</v>
      </c>
      <c r="C113" s="97" t="s">
        <v>9</v>
      </c>
      <c r="D113" s="98">
        <v>2087692.684962119</v>
      </c>
      <c r="E113" s="99">
        <v>2135917.9203086752</v>
      </c>
    </row>
    <row r="114" spans="2:12" x14ac:dyDescent="0.4">
      <c r="B114" s="96" t="s">
        <v>13</v>
      </c>
      <c r="C114" s="97" t="s">
        <v>8</v>
      </c>
      <c r="D114" s="98">
        <v>2479116.6701524146</v>
      </c>
      <c r="E114" s="99">
        <v>2591194.2817772822</v>
      </c>
    </row>
    <row r="115" spans="2:12" x14ac:dyDescent="0.4">
      <c r="B115" s="96" t="s">
        <v>13</v>
      </c>
      <c r="C115" s="97" t="s">
        <v>7</v>
      </c>
      <c r="D115" s="98">
        <v>1486326.3396130952</v>
      </c>
      <c r="E115" s="99">
        <v>1564567.2448145803</v>
      </c>
    </row>
    <row r="116" spans="2:12" x14ac:dyDescent="0.4">
      <c r="B116" s="96" t="s">
        <v>13</v>
      </c>
      <c r="C116" s="97" t="s">
        <v>6</v>
      </c>
      <c r="D116" s="98">
        <v>2367260.0360124498</v>
      </c>
      <c r="E116" s="99">
        <v>2462496.9702174822</v>
      </c>
    </row>
    <row r="117" spans="2:12" x14ac:dyDescent="0.4">
      <c r="B117" s="96" t="s">
        <v>13</v>
      </c>
      <c r="C117" s="97" t="s">
        <v>5</v>
      </c>
      <c r="D117" s="98">
        <v>2147045.032068579</v>
      </c>
      <c r="E117" s="99">
        <v>2419941.8017761461</v>
      </c>
    </row>
    <row r="118" spans="2:12" x14ac:dyDescent="0.4">
      <c r="B118" s="96" t="s">
        <v>13</v>
      </c>
      <c r="C118" s="97" t="s">
        <v>4</v>
      </c>
      <c r="D118" s="98">
        <v>2564872.0249573183</v>
      </c>
      <c r="E118" s="99">
        <v>2655028.066566159</v>
      </c>
    </row>
    <row r="119" spans="2:12" x14ac:dyDescent="0.4">
      <c r="B119" s="96" t="s">
        <v>13</v>
      </c>
      <c r="C119" s="97" t="s">
        <v>3</v>
      </c>
      <c r="D119" s="98">
        <v>2690240.7717095502</v>
      </c>
      <c r="E119" s="99">
        <v>2924636.4764669021</v>
      </c>
    </row>
    <row r="120" spans="2:12" x14ac:dyDescent="0.4">
      <c r="B120" s="100" t="s">
        <v>13</v>
      </c>
      <c r="C120" s="101" t="s">
        <v>2</v>
      </c>
      <c r="D120" s="102">
        <v>1887100.3248015272</v>
      </c>
      <c r="E120" s="103">
        <v>2098587.3205255452</v>
      </c>
    </row>
    <row r="123" spans="2:12" s="6" customFormat="1" x14ac:dyDescent="0.4">
      <c r="B123"/>
      <c r="C123"/>
      <c r="D123"/>
      <c r="E123"/>
      <c r="F123"/>
      <c r="G123"/>
      <c r="H123"/>
      <c r="I123"/>
      <c r="J123"/>
      <c r="K123"/>
      <c r="L123"/>
    </row>
  </sheetData>
  <autoFilter ref="G84:J93" xr:uid="{00000000-0001-0000-0100-000000000000}">
    <sortState xmlns:xlrd2="http://schemas.microsoft.com/office/spreadsheetml/2017/richdata2" ref="G85:J93">
      <sortCondition ref="I84:I93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03DE-327E-4648-AFF8-6FC658340A68}">
  <sheetPr>
    <tabColor rgb="FFFF0000"/>
  </sheetPr>
  <dimension ref="B1:AC37"/>
  <sheetViews>
    <sheetView showGridLines="0" tabSelected="1" zoomScaleNormal="100" workbookViewId="0">
      <selection activeCell="AE13" sqref="AE13"/>
    </sheetView>
  </sheetViews>
  <sheetFormatPr defaultRowHeight="14.6" x14ac:dyDescent="0.4"/>
  <cols>
    <col min="1" max="1" width="11.53515625" customWidth="1"/>
    <col min="11" max="11" width="2.07421875" customWidth="1"/>
    <col min="21" max="21" width="3" customWidth="1"/>
  </cols>
  <sheetData>
    <row r="1" spans="2:29" ht="23.15" x14ac:dyDescent="0.6">
      <c r="B1" s="136" t="s">
        <v>49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</row>
    <row r="2" spans="2:29" x14ac:dyDescent="0.4">
      <c r="B2" s="139"/>
      <c r="AC2" s="140"/>
    </row>
    <row r="3" spans="2:29" x14ac:dyDescent="0.4">
      <c r="B3" s="141" t="s">
        <v>50</v>
      </c>
      <c r="C3" s="142"/>
      <c r="D3" s="142"/>
      <c r="E3" s="142"/>
      <c r="F3" s="142"/>
      <c r="G3" s="142"/>
      <c r="H3" s="142"/>
      <c r="I3" s="142"/>
      <c r="J3" s="142"/>
      <c r="L3" s="142" t="s">
        <v>51</v>
      </c>
      <c r="M3" s="142"/>
      <c r="N3" s="142"/>
      <c r="O3" s="142"/>
      <c r="P3" s="142"/>
      <c r="Q3" s="142"/>
      <c r="R3" s="142"/>
      <c r="S3" s="142"/>
      <c r="T3" s="142"/>
      <c r="V3" s="142" t="s">
        <v>55</v>
      </c>
      <c r="W3" s="142"/>
      <c r="X3" s="142"/>
      <c r="Y3" s="142"/>
      <c r="Z3" s="142"/>
      <c r="AA3" s="142"/>
      <c r="AB3" s="142"/>
      <c r="AC3" s="143"/>
    </row>
    <row r="4" spans="2:29" x14ac:dyDescent="0.4">
      <c r="B4" s="139"/>
      <c r="E4" s="34"/>
      <c r="F4" s="34"/>
      <c r="AC4" s="140"/>
    </row>
    <row r="5" spans="2:29" x14ac:dyDescent="0.4">
      <c r="B5" s="144"/>
      <c r="AC5" s="140"/>
    </row>
    <row r="6" spans="2:29" x14ac:dyDescent="0.4">
      <c r="B6" s="139"/>
      <c r="AC6" s="140"/>
    </row>
    <row r="7" spans="2:29" x14ac:dyDescent="0.4">
      <c r="B7" s="139"/>
      <c r="AC7" s="140"/>
    </row>
    <row r="8" spans="2:29" x14ac:dyDescent="0.4">
      <c r="B8" s="139"/>
      <c r="AC8" s="140"/>
    </row>
    <row r="9" spans="2:29" x14ac:dyDescent="0.4">
      <c r="B9" s="139"/>
      <c r="AC9" s="140"/>
    </row>
    <row r="10" spans="2:29" x14ac:dyDescent="0.4">
      <c r="B10" s="139"/>
      <c r="AC10" s="140"/>
    </row>
    <row r="11" spans="2:29" x14ac:dyDescent="0.4">
      <c r="B11" s="139"/>
      <c r="AC11" s="140"/>
    </row>
    <row r="12" spans="2:29" x14ac:dyDescent="0.4">
      <c r="B12" s="139"/>
      <c r="AC12" s="140"/>
    </row>
    <row r="13" spans="2:29" x14ac:dyDescent="0.4">
      <c r="B13" s="139"/>
      <c r="AC13" s="140"/>
    </row>
    <row r="14" spans="2:29" x14ac:dyDescent="0.4">
      <c r="B14" s="139"/>
      <c r="AC14" s="140"/>
    </row>
    <row r="15" spans="2:29" x14ac:dyDescent="0.4">
      <c r="B15" s="139"/>
      <c r="AC15" s="140"/>
    </row>
    <row r="16" spans="2:29" x14ac:dyDescent="0.4">
      <c r="B16" s="139"/>
      <c r="AC16" s="140"/>
    </row>
    <row r="17" spans="2:29" x14ac:dyDescent="0.4">
      <c r="B17" s="139"/>
      <c r="AC17" s="140"/>
    </row>
    <row r="18" spans="2:29" x14ac:dyDescent="0.4">
      <c r="B18" s="139"/>
      <c r="AC18" s="140"/>
    </row>
    <row r="19" spans="2:29" x14ac:dyDescent="0.4">
      <c r="B19" s="139"/>
      <c r="AC19" s="140"/>
    </row>
    <row r="20" spans="2:29" x14ac:dyDescent="0.4">
      <c r="B20" s="139"/>
      <c r="AC20" s="140"/>
    </row>
    <row r="21" spans="2:29" x14ac:dyDescent="0.4">
      <c r="B21" s="141" t="s">
        <v>53</v>
      </c>
      <c r="C21" s="142"/>
      <c r="D21" s="142"/>
      <c r="E21" s="142"/>
      <c r="F21" s="142"/>
      <c r="G21" s="142"/>
      <c r="H21" s="142"/>
      <c r="I21" s="142"/>
      <c r="J21" s="142"/>
      <c r="L21" s="142" t="s">
        <v>54</v>
      </c>
      <c r="M21" s="142"/>
      <c r="N21" s="142"/>
      <c r="O21" s="142"/>
      <c r="P21" s="142"/>
      <c r="Q21" s="142"/>
      <c r="R21" s="142"/>
      <c r="S21" s="142"/>
      <c r="T21" s="142"/>
      <c r="AC21" s="140"/>
    </row>
    <row r="22" spans="2:29" x14ac:dyDescent="0.4">
      <c r="B22" s="158" t="s">
        <v>0</v>
      </c>
      <c r="C22" s="157"/>
      <c r="D22" s="156"/>
      <c r="E22" s="159" t="s">
        <v>12</v>
      </c>
      <c r="F22" s="157"/>
      <c r="G22" s="156"/>
      <c r="H22" s="157" t="s">
        <v>27</v>
      </c>
      <c r="I22" s="157"/>
      <c r="J22" s="156"/>
      <c r="P22" s="34"/>
      <c r="AC22" s="140"/>
    </row>
    <row r="23" spans="2:29" x14ac:dyDescent="0.4">
      <c r="B23" s="139"/>
      <c r="AC23" s="140"/>
    </row>
    <row r="24" spans="2:29" x14ac:dyDescent="0.4">
      <c r="B24" s="139"/>
      <c r="AC24" s="140"/>
    </row>
    <row r="25" spans="2:29" x14ac:dyDescent="0.4">
      <c r="B25" s="139"/>
      <c r="AC25" s="140"/>
    </row>
    <row r="26" spans="2:29" x14ac:dyDescent="0.4">
      <c r="B26" s="139"/>
      <c r="AC26" s="140"/>
    </row>
    <row r="27" spans="2:29" x14ac:dyDescent="0.4">
      <c r="B27" s="139"/>
      <c r="AC27" s="140"/>
    </row>
    <row r="28" spans="2:29" x14ac:dyDescent="0.4">
      <c r="B28" s="139"/>
      <c r="AC28" s="140"/>
    </row>
    <row r="29" spans="2:29" x14ac:dyDescent="0.4">
      <c r="B29" s="139"/>
      <c r="AC29" s="140"/>
    </row>
    <row r="30" spans="2:29" x14ac:dyDescent="0.4">
      <c r="B30" s="139"/>
      <c r="AC30" s="140"/>
    </row>
    <row r="31" spans="2:29" x14ac:dyDescent="0.4">
      <c r="B31" s="139"/>
      <c r="AC31" s="140"/>
    </row>
    <row r="32" spans="2:29" x14ac:dyDescent="0.4">
      <c r="B32" s="139"/>
      <c r="AC32" s="140"/>
    </row>
    <row r="33" spans="2:29" x14ac:dyDescent="0.4">
      <c r="B33" s="139"/>
      <c r="AC33" s="140"/>
    </row>
    <row r="34" spans="2:29" x14ac:dyDescent="0.4">
      <c r="B34" s="139"/>
      <c r="AC34" s="140"/>
    </row>
    <row r="35" spans="2:29" x14ac:dyDescent="0.4">
      <c r="B35" s="139"/>
      <c r="AC35" s="140"/>
    </row>
    <row r="36" spans="2:29" x14ac:dyDescent="0.4">
      <c r="B36" s="139"/>
      <c r="AC36" s="140"/>
    </row>
    <row r="37" spans="2:29" ht="15" thickBot="1" x14ac:dyDescent="0.45">
      <c r="B37" s="145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7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Fill="0" autoLine="0" autoPict="0">
                <anchor moveWithCells="1">
                  <from>
                    <xdr:col>0</xdr:col>
                    <xdr:colOff>0</xdr:colOff>
                    <xdr:row>4</xdr:row>
                    <xdr:rowOff>10886</xdr:rowOff>
                  </from>
                  <to>
                    <xdr:col>1</xdr:col>
                    <xdr:colOff>261257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0</xdr:col>
                    <xdr:colOff>0</xdr:colOff>
                    <xdr:row>6</xdr:row>
                    <xdr:rowOff>76200</xdr:rowOff>
                  </from>
                  <to>
                    <xdr:col>1</xdr:col>
                    <xdr:colOff>261257</xdr:colOff>
                    <xdr:row>8</xdr:row>
                    <xdr:rowOff>65314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0</xdr:col>
                    <xdr:colOff>43543</xdr:colOff>
                    <xdr:row>9</xdr:row>
                    <xdr:rowOff>5443</xdr:rowOff>
                  </from>
                  <to>
                    <xdr:col>0</xdr:col>
                    <xdr:colOff>762000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45</xdr:col>
                    <xdr:colOff>549729</xdr:colOff>
                    <xdr:row>9</xdr:row>
                    <xdr:rowOff>38100</xdr:rowOff>
                  </from>
                  <to>
                    <xdr:col>46</xdr:col>
                    <xdr:colOff>506186</xdr:colOff>
                    <xdr:row>11</xdr:row>
                    <xdr:rowOff>130629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45</xdr:col>
                    <xdr:colOff>609600</xdr:colOff>
                    <xdr:row>15</xdr:row>
                    <xdr:rowOff>157843</xdr:rowOff>
                  </from>
                  <to>
                    <xdr:col>48</xdr:col>
                    <xdr:colOff>206829</xdr:colOff>
                    <xdr:row>21</xdr:row>
                    <xdr:rowOff>16329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F237F1B3F1D104392C3E5D104A08EAA" ma:contentTypeVersion="18" ma:contentTypeDescription="Tạo tài liệu mới." ma:contentTypeScope="" ma:versionID="8188922052deb3e42ce7de3ab36bbf4c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be56c7a7c99bbbe4ef47f79daa457353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D8F74F6F-4C98-4A98-8660-FFBD9F006F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00F8BD-5C75-4576-9EF8-934BA124F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ada77-058e-43cf-98f9-2f3f234e0a0c"/>
    <ds:schemaRef ds:uri="eb8f9251-8aac-41e1-906c-2d855e2403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BB30B7-B96D-4B59-B449-2C4355309EBF}">
  <ds:schemaRefs>
    <ds:schemaRef ds:uri="42aada77-058e-43cf-98f9-2f3f234e0a0c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eb8f9251-8aac-41e1-906c-2d855e24039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</vt:lpstr>
      <vt:lpstr>CALCULATION</vt:lpstr>
      <vt:lpstr>DASHBOARD</vt:lpstr>
      <vt:lpstr>ab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phanlequyfd@gmail.com</dc:creator>
  <cp:lastModifiedBy>Qúy Phan Lê</cp:lastModifiedBy>
  <dcterms:created xsi:type="dcterms:W3CDTF">2012-05-04T18:36:17Z</dcterms:created>
  <dcterms:modified xsi:type="dcterms:W3CDTF">2026-02-16T16:09:51Z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